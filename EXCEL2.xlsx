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10969fdb2de972/Desktop/"/>
    </mc:Choice>
  </mc:AlternateContent>
  <xr:revisionPtr revIDLastSave="0" documentId="8_{FDD6D9B5-49C8-4ECA-A926-4A504BD883BD}" xr6:coauthVersionLast="47" xr6:coauthVersionMax="47" xr10:uidLastSave="{00000000-0000-0000-0000-000000000000}"/>
  <bookViews>
    <workbookView xWindow="-108" yWindow="-108" windowWidth="23256" windowHeight="12456" activeTab="1" xr2:uid="{2853DDE4-D84E-4A30-8195-E06ABADBA2A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/>
  <c r="J2" i="2"/>
  <c r="I2" i="2"/>
  <c r="H3" i="2" a="1"/>
  <c r="H3" i="2"/>
  <c r="H4" i="2" a="1"/>
  <c r="H4" i="2"/>
  <c r="H5" i="2" a="1"/>
  <c r="H5" i="2"/>
  <c r="H6" i="2" a="1"/>
  <c r="H6" i="2"/>
  <c r="H7" i="2" a="1"/>
  <c r="H7" i="2"/>
  <c r="H8" i="2" a="1"/>
  <c r="H8" i="2"/>
  <c r="H9" i="2" a="1"/>
  <c r="H9" i="2"/>
  <c r="H2" i="2" a="1"/>
  <c r="H2" i="2" s="1"/>
  <c r="G2" i="2" a="1"/>
  <c r="G2" i="2" s="1"/>
  <c r="F2" i="2"/>
  <c r="E2" i="2"/>
  <c r="F3" i="1"/>
  <c r="E3" i="1"/>
  <c r="D3" i="1"/>
  <c r="C3" i="1" a="1"/>
  <c r="C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<sst xmlns="http://schemas.openxmlformats.org/spreadsheetml/2006/main" count="50" uniqueCount="33">
  <si>
    <t>CONDITIONAL FORMATTING</t>
  </si>
  <si>
    <t>NAME</t>
  </si>
  <si>
    <t>SCORE</t>
  </si>
  <si>
    <t>John</t>
  </si>
  <si>
    <t>Emily</t>
  </si>
  <si>
    <t>Mike</t>
  </si>
  <si>
    <t>Sara</t>
  </si>
  <si>
    <t>Niya</t>
  </si>
  <si>
    <t>Diya</t>
  </si>
  <si>
    <t>Livya</t>
  </si>
  <si>
    <t>Divya</t>
  </si>
  <si>
    <t>IF</t>
  </si>
  <si>
    <t>COUNT IF</t>
  </si>
  <si>
    <t>SUM IF</t>
  </si>
  <si>
    <t>AVERAGE IF</t>
  </si>
  <si>
    <t>North</t>
  </si>
  <si>
    <t>Q1</t>
  </si>
  <si>
    <t>Sarah</t>
  </si>
  <si>
    <t>South</t>
  </si>
  <si>
    <t>Q2</t>
  </si>
  <si>
    <t>East</t>
  </si>
  <si>
    <t>Q3</t>
  </si>
  <si>
    <t>INDEX</t>
  </si>
  <si>
    <t>MATCH</t>
  </si>
  <si>
    <t>UNIQUE</t>
  </si>
  <si>
    <t>IFS</t>
  </si>
  <si>
    <t>COUNTIFS</t>
  </si>
  <si>
    <t>SUMIF</t>
  </si>
  <si>
    <t>AVERAGEIFS</t>
  </si>
  <si>
    <t>EMPLOYEE</t>
  </si>
  <si>
    <t>SALES</t>
  </si>
  <si>
    <t>QUARTER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</si>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</sst>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Times New Roman"/>
      <family val="1"/>
    </font>
    <font>
      <b/>
      <sz val="12"/>
      <color rgb="FF000000"/>
      <name val="Segoe UI Variable Display Semib"/>
    </font>
    <font>
      <b/>
      <sz val="12"/>
      <color theme="1"/>
      <name val="Segoe UI Variable Display Semib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 patternType="gray125">
          <bgColor rgb="FF92D050"/>
        </patternFill>
      </fill>
    </dxf>
    <dxf>
      <fill>
        <patternFill patternType="lightVertical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0362B-8CB0-41D2-8FDE-3FB3E0D44ECE}">
  <dimension ref="A1:F10"/>
  <sheetViews>
    <sheetView workbookViewId="0">
      <selection activeCell="D3" sqref="D3"/>
    </sheetView>
  </sheetViews>
  <sheetFormatPr defaultRowHeight="14.4" x14ac:dyDescent="0.3"/>
  <cols>
    <col min="4" max="4" width="11.109375" customWidth="1"/>
    <col min="6" max="6" width="14.88671875" customWidth="1"/>
    <col min="7" max="7" width="7.33203125" customWidth="1"/>
  </cols>
  <sheetData>
    <row r="1" spans="1:6" ht="27.6" customHeight="1" x14ac:dyDescent="0.3">
      <c r="A1" s="3" t="s">
        <v>0</v>
      </c>
      <c r="B1" s="3"/>
      <c r="C1" s="3"/>
      <c r="D1" s="3"/>
      <c r="E1" s="3"/>
      <c r="F1" s="3"/>
    </row>
    <row r="2" spans="1:6" x14ac:dyDescent="0.3">
      <c r="A2" s="1" t="s">
        <v>1</v>
      </c>
      <c r="B2" s="1" t="s">
        <v>2</v>
      </c>
      <c r="C2" s="1" t="s">
        <v>11</v>
      </c>
      <c r="D2" s="1" t="s">
        <v>12</v>
      </c>
      <c r="E2" s="1" t="s">
        <v>13</v>
      </c>
      <c r="F2" s="1" t="s">
        <v>14</v>
      </c>
    </row>
    <row r="3" spans="1:6" x14ac:dyDescent="0.3">
      <c r="A3" s="2" t="s">
        <v>3</v>
      </c>
      <c r="B3" s="2">
        <v>45</v>
      </c>
      <c r="C3" s="2" t="str" cm="1">
        <f t="array" ref="C3:C10">IF(B3:B10&gt;=50,"PASS","FAIL")</f>
        <v>FAIL</v>
      </c>
      <c r="D3" s="2">
        <f>COUNTIF(B3:B10,"&gt;50")</f>
        <v>4</v>
      </c>
      <c r="E3" s="2">
        <f>SUMIF(B3:B10,"&gt;50",B3:B10)</f>
        <v>280</v>
      </c>
      <c r="F3" s="2">
        <f>AVERAGE(B3:B10)</f>
        <v>50</v>
      </c>
    </row>
    <row r="4" spans="1:6" x14ac:dyDescent="0.3">
      <c r="A4" s="2" t="s">
        <v>4</v>
      </c>
      <c r="B4" s="2">
        <v>65</v>
      </c>
      <c r="C4" s="2" t="str">
        <v>PASS</v>
      </c>
      <c r="D4" s="2"/>
      <c r="E4" s="2"/>
      <c r="F4" s="2"/>
    </row>
    <row r="5" spans="1:6" x14ac:dyDescent="0.3">
      <c r="A5" s="2" t="s">
        <v>5</v>
      </c>
      <c r="B5" s="2">
        <v>55</v>
      </c>
      <c r="C5" s="2" t="str">
        <v>PASS</v>
      </c>
      <c r="D5" s="2"/>
      <c r="E5" s="2"/>
      <c r="F5" s="2"/>
    </row>
    <row r="6" spans="1:6" x14ac:dyDescent="0.3">
      <c r="A6" s="2" t="s">
        <v>6</v>
      </c>
      <c r="B6" s="2">
        <v>35</v>
      </c>
      <c r="C6" s="2" t="str">
        <v>FAIL</v>
      </c>
      <c r="D6" s="2"/>
      <c r="E6" s="2"/>
      <c r="F6" s="2"/>
    </row>
    <row r="7" spans="1:6" x14ac:dyDescent="0.3">
      <c r="A7" s="2" t="s">
        <v>7</v>
      </c>
      <c r="B7" s="2">
        <v>25</v>
      </c>
      <c r="C7" s="2" t="str">
        <v>FAIL</v>
      </c>
      <c r="D7" s="2"/>
      <c r="E7" s="2"/>
      <c r="F7" s="2"/>
    </row>
    <row r="8" spans="1:6" x14ac:dyDescent="0.3">
      <c r="A8" s="2" t="s">
        <v>8</v>
      </c>
      <c r="B8" s="2">
        <v>75</v>
      </c>
      <c r="C8" s="2" t="str">
        <v>PASS</v>
      </c>
      <c r="D8" s="2"/>
      <c r="E8" s="2"/>
      <c r="F8" s="2"/>
    </row>
    <row r="9" spans="1:6" x14ac:dyDescent="0.3">
      <c r="A9" s="2" t="s">
        <v>9</v>
      </c>
      <c r="B9" s="2">
        <v>85</v>
      </c>
      <c r="C9" s="2" t="str">
        <v>PASS</v>
      </c>
      <c r="D9" s="2"/>
      <c r="E9" s="2"/>
      <c r="F9" s="2"/>
    </row>
    <row r="10" spans="1:6" x14ac:dyDescent="0.3">
      <c r="A10" s="2" t="s">
        <v>10</v>
      </c>
      <c r="B10" s="2">
        <v>15</v>
      </c>
      <c r="C10" s="2" t="str">
        <v>FAIL</v>
      </c>
      <c r="D10" s="2"/>
      <c r="E10" s="2"/>
      <c r="F10" s="2"/>
    </row>
  </sheetData>
  <mergeCells count="1">
    <mergeCell ref="A1:F1"/>
  </mergeCells>
  <conditionalFormatting sqref="B2">
    <cfRule type="expression" priority="4">
      <formula>B2&gt;80</formula>
    </cfRule>
  </conditionalFormatting>
  <conditionalFormatting sqref="B3:B10">
    <cfRule type="expression" dxfId="1" priority="1">
      <formula>B3&lt;50</formula>
    </cfRule>
    <cfRule type="expression" dxfId="0" priority="2">
      <formula>B3&gt;50</formula>
    </cfRule>
    <cfRule type="expression" priority="3">
      <formula>B3&gt;50</formula>
    </cfRule>
  </conditionalFormatting>
  <conditionalFormatting sqref="C2">
    <cfRule type="expression" priority="5">
      <formula>B3&gt;50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B5C2D-03C6-45BB-937A-BB36D8D422C8}">
  <dimension ref="A1:K9"/>
  <sheetViews>
    <sheetView tabSelected="1" workbookViewId="0">
      <selection activeCell="C15" sqref="C15"/>
    </sheetView>
  </sheetViews>
  <sheetFormatPr defaultRowHeight="14.4" x14ac:dyDescent="0.3"/>
  <cols>
    <col min="1" max="1" width="17.21875" customWidth="1"/>
    <col min="2" max="2" width="22.21875" customWidth="1"/>
    <col min="3" max="3" width="12.21875" customWidth="1"/>
    <col min="4" max="4" width="16.44140625" customWidth="1"/>
    <col min="5" max="5" width="12.5546875" customWidth="1"/>
    <col min="6" max="7" width="13.5546875" customWidth="1"/>
    <col min="8" max="8" width="17.6640625" customWidth="1"/>
    <col min="9" max="10" width="14.5546875" customWidth="1"/>
    <col min="11" max="11" width="19.44140625" customWidth="1"/>
  </cols>
  <sheetData>
    <row r="1" spans="1:11" ht="34.799999999999997" x14ac:dyDescent="0.3">
      <c r="A1" s="4" t="s">
        <v>29</v>
      </c>
      <c r="B1" s="4" t="s">
        <v>32</v>
      </c>
      <c r="C1" s="4" t="s">
        <v>30</v>
      </c>
      <c r="D1" s="4" t="s">
        <v>31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</row>
    <row r="2" spans="1:11" ht="18" x14ac:dyDescent="0.4">
      <c r="A2" s="5" t="s">
        <v>3</v>
      </c>
      <c r="B2" s="5" t="s">
        <v>15</v>
      </c>
      <c r="C2" s="5">
        <v>5000</v>
      </c>
      <c r="D2" s="5" t="s">
        <v>16</v>
      </c>
      <c r="E2" s="6" t="str">
        <f>INDEX(A2:D9,3,4)</f>
        <v>Q2</v>
      </c>
      <c r="F2" s="6">
        <f>MATCH(D4,D2:D9,0)</f>
        <v>3</v>
      </c>
      <c r="G2" s="6" t="str" cm="1">
        <f t="array" ref="G2:G4">_xlfn.UNIQUE(A2:A9)</f>
        <v>John</v>
      </c>
      <c r="H2" s="6" t="str" cm="1">
        <f t="array" ref="H2">_xlfn.IFS(C2&lt;5000,"LOW",C2&lt;=7000,"MEDIUM",C2&gt;7000,"HIGH")</f>
        <v>MEDIUM</v>
      </c>
      <c r="I2" s="6">
        <f>COUNTIFS(C2:C9,4000)</f>
        <v>1</v>
      </c>
      <c r="J2" s="6">
        <f>SUMIFS(C2:C9,A2:A9,"Mike")</f>
        <v>10000</v>
      </c>
      <c r="K2" s="6">
        <f>AVERAGEIFS(C2:C9,A2:A9,"JOHN")</f>
        <v>7000</v>
      </c>
    </row>
    <row r="3" spans="1:11" ht="18" x14ac:dyDescent="0.4">
      <c r="A3" s="5" t="s">
        <v>17</v>
      </c>
      <c r="B3" s="5" t="s">
        <v>18</v>
      </c>
      <c r="C3" s="5">
        <v>8000</v>
      </c>
      <c r="D3" s="5" t="s">
        <v>16</v>
      </c>
      <c r="E3" s="6"/>
      <c r="F3" s="6"/>
      <c r="G3" s="6" t="str">
        <v>Sarah</v>
      </c>
      <c r="H3" s="6" t="str" cm="1">
        <f t="array" ref="H3">_xlfn.IFS(C3&lt;5000,"LOW",C3&lt;=7000,"MEDIUM",C3&gt;7000,"HIGH")</f>
        <v>HIGH</v>
      </c>
      <c r="I3" s="6"/>
      <c r="J3" s="6"/>
      <c r="K3" s="6"/>
    </row>
    <row r="4" spans="1:11" ht="18" x14ac:dyDescent="0.4">
      <c r="A4" s="5" t="s">
        <v>3</v>
      </c>
      <c r="B4" s="5" t="s">
        <v>15</v>
      </c>
      <c r="C4" s="5">
        <v>7000</v>
      </c>
      <c r="D4" s="5" t="s">
        <v>19</v>
      </c>
      <c r="E4" s="6"/>
      <c r="F4" s="6"/>
      <c r="G4" s="6" t="str">
        <v>Mike</v>
      </c>
      <c r="H4" s="6" t="str" cm="1">
        <f t="array" ref="H4">_xlfn.IFS(C4&lt;5000,"LOW",C4&lt;=7000,"MEDIUM",C4&gt;7000,"HIGH")</f>
        <v>MEDIUM</v>
      </c>
      <c r="I4" s="6"/>
      <c r="J4" s="6"/>
      <c r="K4" s="6"/>
    </row>
    <row r="5" spans="1:11" ht="18" x14ac:dyDescent="0.4">
      <c r="A5" s="5" t="s">
        <v>17</v>
      </c>
      <c r="B5" s="5" t="s">
        <v>18</v>
      </c>
      <c r="C5" s="5">
        <v>6000</v>
      </c>
      <c r="D5" s="5" t="s">
        <v>19</v>
      </c>
      <c r="E5" s="6"/>
      <c r="F5" s="6"/>
      <c r="G5" s="6"/>
      <c r="H5" s="6" t="str" cm="1">
        <f t="array" ref="H5">_xlfn.IFS(C5&lt;5000,"LOW",C5&lt;=7000,"MEDIUM",C5&gt;7000,"HIGH")</f>
        <v>MEDIUM</v>
      </c>
      <c r="I5" s="6"/>
      <c r="J5" s="6"/>
      <c r="K5" s="6"/>
    </row>
    <row r="6" spans="1:11" ht="18" x14ac:dyDescent="0.4">
      <c r="A6" s="5" t="s">
        <v>5</v>
      </c>
      <c r="B6" s="5" t="s">
        <v>20</v>
      </c>
      <c r="C6" s="5">
        <v>4000</v>
      </c>
      <c r="D6" s="5" t="s">
        <v>16</v>
      </c>
      <c r="E6" s="6"/>
      <c r="F6" s="6"/>
      <c r="G6" s="6"/>
      <c r="H6" s="6" t="str" cm="1">
        <f t="array" ref="H6">_xlfn.IFS(C6&lt;5000,"LOW",C6&lt;=7000,"MEDIUM",C6&gt;7000,"HIGH")</f>
        <v>LOW</v>
      </c>
      <c r="I6" s="6"/>
      <c r="J6" s="6"/>
      <c r="K6" s="6"/>
    </row>
    <row r="7" spans="1:11" ht="18" x14ac:dyDescent="0.4">
      <c r="A7" s="5" t="s">
        <v>3</v>
      </c>
      <c r="B7" s="5" t="s">
        <v>15</v>
      </c>
      <c r="C7" s="5">
        <v>9000</v>
      </c>
      <c r="D7" s="5" t="s">
        <v>21</v>
      </c>
      <c r="E7" s="6"/>
      <c r="F7" s="6"/>
      <c r="G7" s="6"/>
      <c r="H7" s="6" t="str" cm="1">
        <f t="array" ref="H7">_xlfn.IFS(C7&lt;5000,"LOW",C7&lt;=7000,"MEDIUM",C7&gt;7000,"HIGH")</f>
        <v>HIGH</v>
      </c>
      <c r="I7" s="6"/>
      <c r="J7" s="6"/>
      <c r="K7" s="6"/>
    </row>
    <row r="8" spans="1:11" ht="18" x14ac:dyDescent="0.4">
      <c r="A8" s="5" t="s">
        <v>17</v>
      </c>
      <c r="B8" s="5" t="s">
        <v>18</v>
      </c>
      <c r="C8" s="5">
        <v>3000</v>
      </c>
      <c r="D8" s="5" t="s">
        <v>21</v>
      </c>
      <c r="E8" s="6"/>
      <c r="F8" s="6"/>
      <c r="G8" s="6"/>
      <c r="H8" s="6" t="str" cm="1">
        <f t="array" ref="H8">_xlfn.IFS(C8&lt;5000,"LOW",C8&lt;=7000,"MEDIUM",C8&gt;7000,"HIGH")</f>
        <v>LOW</v>
      </c>
      <c r="I8" s="6"/>
      <c r="J8" s="6"/>
      <c r="K8" s="6"/>
    </row>
    <row r="9" spans="1:11" ht="18" x14ac:dyDescent="0.4">
      <c r="A9" s="5" t="s">
        <v>5</v>
      </c>
      <c r="B9" s="5" t="s">
        <v>20</v>
      </c>
      <c r="C9" s="5">
        <v>6000</v>
      </c>
      <c r="D9" s="5" t="s">
        <v>19</v>
      </c>
      <c r="E9" s="6"/>
      <c r="F9" s="6"/>
      <c r="G9" s="6"/>
      <c r="H9" s="6" t="str" cm="1">
        <f t="array" ref="H9">_xlfn.IFS(C9&lt;5000,"LOW",C9&lt;=7000,"MEDIUM",C9&gt;7000,"HIGH")</f>
        <v>MEDIUM</v>
      </c>
      <c r="I9" s="6"/>
      <c r="J9" s="6"/>
      <c r="K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Nithya .p</dc:creator>
  <cp:lastModifiedBy>Nithya .p</cp:lastModifiedBy>
  <dcterms:created xsi:type="dcterms:W3CDTF">2026-01-30T10:28:57Z</dcterms:created>
  <dcterms:modified xsi:type="dcterms:W3CDTF">2026-02-01T10:08:27Z</dcterms:modified>
</cp:coreProperties>
</file>