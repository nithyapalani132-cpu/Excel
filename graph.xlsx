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210969fdb2de972/Desktop/EXCEL PGM/"/>
    </mc:Choice>
  </mc:AlternateContent>
  <xr:revisionPtr revIDLastSave="34" documentId="13_ncr:1_{8E03A41C-8B39-4948-B984-0A2009B95A68}" xr6:coauthVersionLast="47" xr6:coauthVersionMax="47" xr10:uidLastSave="{2889B4BA-58C3-4CA3-A66D-6D28FEF4AFC3}"/>
  <bookViews>
    <workbookView xWindow="-108" yWindow="-108" windowWidth="23256" windowHeight="12456" activeTab="1" xr2:uid="{00000000-000D-0000-FFFF-FFFF00000000}"/>
  </bookViews>
  <sheets>
    <sheet name="Raw_Data" sheetId="1" r:id="rId1"/>
    <sheet name="GRAP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2" l="1"/>
  <c r="T27" i="2"/>
  <c r="W12" i="1"/>
  <c r="T7" i="1"/>
  <c r="S7" i="1"/>
  <c r="R7" i="1"/>
  <c r="Q7" i="1"/>
  <c r="R2" i="1"/>
  <c r="Q2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K202" i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2" i="1"/>
  <c r="L2" i="1" s="1"/>
  <c r="B11" i="2"/>
  <c r="B10" i="2"/>
  <c r="B9" i="2"/>
  <c r="B8" i="2"/>
  <c r="B5" i="2"/>
  <c r="B4" i="2"/>
  <c r="B1" i="2"/>
  <c r="W2" i="1" l="1"/>
  <c r="W3" i="1"/>
  <c r="W4" i="1"/>
  <c r="W5" i="1"/>
  <c r="W6" i="1"/>
  <c r="W7" i="1"/>
  <c r="W8" i="1"/>
  <c r="W9" i="1"/>
  <c r="W10" i="1"/>
  <c r="W11" i="1"/>
  <c r="W13" i="1"/>
</calcChain>
</file>

<file path=xl/sharedStrings.xml><?xml version="1.0" encoding="utf-8"?>
<sst xmlns="http://schemas.openxmlformats.org/spreadsheetml/2006/main" count="1065" uniqueCount="254">
  <si>
    <t>CustomerID</t>
  </si>
  <si>
    <t>Gender</t>
  </si>
  <si>
    <t>Age</t>
  </si>
  <si>
    <t>City</t>
  </si>
  <si>
    <t>ProductCategory</t>
  </si>
  <si>
    <t>Quantity</t>
  </si>
  <si>
    <t>Price</t>
  </si>
  <si>
    <t>TotalAmount</t>
  </si>
  <si>
    <t>PurchaseDate</t>
  </si>
  <si>
    <t>PaymentMethod</t>
  </si>
  <si>
    <t>CUST4474</t>
  </si>
  <si>
    <t>Male</t>
  </si>
  <si>
    <t>Mumbai</t>
  </si>
  <si>
    <t>Clothing</t>
  </si>
  <si>
    <t>UPI</t>
  </si>
  <si>
    <t>CUST1518</t>
  </si>
  <si>
    <t>Delhi</t>
  </si>
  <si>
    <t>Debit Card</t>
  </si>
  <si>
    <t>CUST4175</t>
  </si>
  <si>
    <t>Female</t>
  </si>
  <si>
    <t>Sports</t>
  </si>
  <si>
    <t>Cash</t>
  </si>
  <si>
    <t>CUST7522</t>
  </si>
  <si>
    <t>Electronics</t>
  </si>
  <si>
    <t>Credit Card</t>
  </si>
  <si>
    <t>CUST4356</t>
  </si>
  <si>
    <t>Bangalore</t>
  </si>
  <si>
    <t>CUST1337</t>
  </si>
  <si>
    <t>Chennai</t>
  </si>
  <si>
    <t>CUST5763</t>
  </si>
  <si>
    <t>CUST8124</t>
  </si>
  <si>
    <t>Home</t>
  </si>
  <si>
    <t>CUST7206</t>
  </si>
  <si>
    <t>CUST7771</t>
  </si>
  <si>
    <t>CUST9361</t>
  </si>
  <si>
    <t>CUST4670</t>
  </si>
  <si>
    <t>CUST1216</t>
  </si>
  <si>
    <t>CUST5655</t>
  </si>
  <si>
    <t>CUST5932</t>
  </si>
  <si>
    <t>CUST5284</t>
  </si>
  <si>
    <t>CUST5380</t>
  </si>
  <si>
    <t>CUST4914</t>
  </si>
  <si>
    <t>CUST8257</t>
  </si>
  <si>
    <t>CUST5042</t>
  </si>
  <si>
    <t>CUST2197</t>
  </si>
  <si>
    <t>CUST1235</t>
  </si>
  <si>
    <t>CUST1864</t>
  </si>
  <si>
    <t>CUST8206</t>
  </si>
  <si>
    <t>CUST3553</t>
  </si>
  <si>
    <t>CUST3563</t>
  </si>
  <si>
    <t>CUST7329</t>
  </si>
  <si>
    <t>CUST2220</t>
  </si>
  <si>
    <t>CUST3402</t>
  </si>
  <si>
    <t>CUST8747</t>
  </si>
  <si>
    <t>CUST1934</t>
  </si>
  <si>
    <t>CUST2962</t>
  </si>
  <si>
    <t>CUST4380</t>
  </si>
  <si>
    <t>CUST4809</t>
  </si>
  <si>
    <t>CUST2614</t>
  </si>
  <si>
    <t>CUST6474</t>
  </si>
  <si>
    <t>CUST1303</t>
  </si>
  <si>
    <t>CUST9988</t>
  </si>
  <si>
    <t>CUST5346</t>
  </si>
  <si>
    <t>CUST6190</t>
  </si>
  <si>
    <t>CUST9111</t>
  </si>
  <si>
    <t>CUST7548</t>
  </si>
  <si>
    <t>CUST9816</t>
  </si>
  <si>
    <t>CUST3799</t>
  </si>
  <si>
    <t>CUST1550</t>
  </si>
  <si>
    <t>CUST2942</t>
  </si>
  <si>
    <t>CUST7004</t>
  </si>
  <si>
    <t>CUST2027</t>
  </si>
  <si>
    <t>CUST7993</t>
  </si>
  <si>
    <t>CUST6516</t>
  </si>
  <si>
    <t>CUST8671</t>
  </si>
  <si>
    <t>CUST7546</t>
  </si>
  <si>
    <t>CUST5775</t>
  </si>
  <si>
    <t>CUST1177</t>
  </si>
  <si>
    <t>CUST6265</t>
  </si>
  <si>
    <t>CUST5631</t>
  </si>
  <si>
    <t>CUST2114</t>
  </si>
  <si>
    <t>CUST6284</t>
  </si>
  <si>
    <t>CUST9302</t>
  </si>
  <si>
    <t>CUST9047</t>
  </si>
  <si>
    <t>CUST7536</t>
  </si>
  <si>
    <t>CUST2550</t>
  </si>
  <si>
    <t>CUST2927</t>
  </si>
  <si>
    <t>CUST5316</t>
  </si>
  <si>
    <t>CUST8467</t>
  </si>
  <si>
    <t>CUST1272</t>
  </si>
  <si>
    <t>CUST7240</t>
  </si>
  <si>
    <t>CUST9474</t>
  </si>
  <si>
    <t>CUST9620</t>
  </si>
  <si>
    <t>CUST6858</t>
  </si>
  <si>
    <t>CUST4737</t>
  </si>
  <si>
    <t>CUST2025</t>
  </si>
  <si>
    <t>CUST2292</t>
  </si>
  <si>
    <t>CUST7706</t>
  </si>
  <si>
    <t>CUST8424</t>
  </si>
  <si>
    <t>CUST4866</t>
  </si>
  <si>
    <t>CUST1505</t>
  </si>
  <si>
    <t>CUST3652</t>
  </si>
  <si>
    <t>CUST1469</t>
  </si>
  <si>
    <t>CUST9843</t>
  </si>
  <si>
    <t>CUST2348</t>
  </si>
  <si>
    <t>CUST3678</t>
  </si>
  <si>
    <t>CUST8334</t>
  </si>
  <si>
    <t>CUST6950</t>
  </si>
  <si>
    <t>CUST5888</t>
  </si>
  <si>
    <t>CUST2512</t>
  </si>
  <si>
    <t>CUST3608</t>
  </si>
  <si>
    <t>CUST6889</t>
  </si>
  <si>
    <t>CUST9385</t>
  </si>
  <si>
    <t>CUST7096</t>
  </si>
  <si>
    <t>CUST9335</t>
  </si>
  <si>
    <t>CUST2172</t>
  </si>
  <si>
    <t>CUST4245</t>
  </si>
  <si>
    <t>CUST2400</t>
  </si>
  <si>
    <t>CUST6754</t>
  </si>
  <si>
    <t>CUST3159</t>
  </si>
  <si>
    <t>CUST9809</t>
  </si>
  <si>
    <t>CUST5140</t>
  </si>
  <si>
    <t>CUST5941</t>
  </si>
  <si>
    <t>CUST5862</t>
  </si>
  <si>
    <t>CUST4155</t>
  </si>
  <si>
    <t>CUST3839</t>
  </si>
  <si>
    <t>CUST2694</t>
  </si>
  <si>
    <t>CUST3430</t>
  </si>
  <si>
    <t>CUST8536</t>
  </si>
  <si>
    <t>CUST9270</t>
  </si>
  <si>
    <t>CUST3912</t>
  </si>
  <si>
    <t>CUST3893</t>
  </si>
  <si>
    <t>CUST1540</t>
  </si>
  <si>
    <t>CUST1729</t>
  </si>
  <si>
    <t>CUST5711</t>
  </si>
  <si>
    <t>CUST5308</t>
  </si>
  <si>
    <t>CUST5594</t>
  </si>
  <si>
    <t>CUST9932</t>
  </si>
  <si>
    <t>CUST5828</t>
  </si>
  <si>
    <t>CUST1731</t>
  </si>
  <si>
    <t>CUST6735</t>
  </si>
  <si>
    <t>CUST5496</t>
  </si>
  <si>
    <t>CUST2527</t>
  </si>
  <si>
    <t>CUST6568</t>
  </si>
  <si>
    <t>CUST2770</t>
  </si>
  <si>
    <t>CUST5197</t>
  </si>
  <si>
    <t>CUST8259</t>
  </si>
  <si>
    <t>CUST5438</t>
  </si>
  <si>
    <t>CUST5182</t>
  </si>
  <si>
    <t>CUST7686</t>
  </si>
  <si>
    <t>CUST3681</t>
  </si>
  <si>
    <t>CUST6297</t>
  </si>
  <si>
    <t>CUST5484</t>
  </si>
  <si>
    <t>CUST1782</t>
  </si>
  <si>
    <t>CUST6113</t>
  </si>
  <si>
    <t>CUST1252</t>
  </si>
  <si>
    <t>CUST3129</t>
  </si>
  <si>
    <t>CUST7471</t>
  </si>
  <si>
    <t>CUST4042</t>
  </si>
  <si>
    <t>CUST4446</t>
  </si>
  <si>
    <t>CUST5920</t>
  </si>
  <si>
    <t>CUST7003</t>
  </si>
  <si>
    <t>CUST7589</t>
  </si>
  <si>
    <t>CUST5728</t>
  </si>
  <si>
    <t>CUST8912</t>
  </si>
  <si>
    <t>CUST5626</t>
  </si>
  <si>
    <t>CUST4476</t>
  </si>
  <si>
    <t>CUST8195</t>
  </si>
  <si>
    <t>CUST9133</t>
  </si>
  <si>
    <t>CUST8482</t>
  </si>
  <si>
    <t>CUST6514</t>
  </si>
  <si>
    <t>CUST4173</t>
  </si>
  <si>
    <t>CUST1451</t>
  </si>
  <si>
    <t>CUST7193</t>
  </si>
  <si>
    <t>CUST2136</t>
  </si>
  <si>
    <t>CUST8520</t>
  </si>
  <si>
    <t>CUST4010</t>
  </si>
  <si>
    <t>CUST2209</t>
  </si>
  <si>
    <t>CUST9070</t>
  </si>
  <si>
    <t>CUST3172</t>
  </si>
  <si>
    <t>CUST8602</t>
  </si>
  <si>
    <t>CUST2354</t>
  </si>
  <si>
    <t>CUST4529</t>
  </si>
  <si>
    <t>CUST8410</t>
  </si>
  <si>
    <t>CUST8827</t>
  </si>
  <si>
    <t>CUST9847</t>
  </si>
  <si>
    <t>CUST8471</t>
  </si>
  <si>
    <t>CUST8466</t>
  </si>
  <si>
    <t>CUST2286</t>
  </si>
  <si>
    <t>CUST5520</t>
  </si>
  <si>
    <t>CUST6631</t>
  </si>
  <si>
    <t>CUST3363</t>
  </si>
  <si>
    <t>CUST7951</t>
  </si>
  <si>
    <t>CUST9821</t>
  </si>
  <si>
    <t>CUST6069</t>
  </si>
  <si>
    <t>CUST7324</t>
  </si>
  <si>
    <t>CUST7423</t>
  </si>
  <si>
    <t>CUST3280</t>
  </si>
  <si>
    <t>CUST8501</t>
  </si>
  <si>
    <t>CUST6080</t>
  </si>
  <si>
    <t>CUST5336</t>
  </si>
  <si>
    <t>CUST2524</t>
  </si>
  <si>
    <t>CUST7199</t>
  </si>
  <si>
    <t>CUST7041</t>
  </si>
  <si>
    <t>CUST6049</t>
  </si>
  <si>
    <t>CUST8750</t>
  </si>
  <si>
    <t>CUST3940</t>
  </si>
  <si>
    <t>CUST7649</t>
  </si>
  <si>
    <t>CUST5732</t>
  </si>
  <si>
    <t>CUST9346</t>
  </si>
  <si>
    <t>CUST3937</t>
  </si>
  <si>
    <t>CUST4731</t>
  </si>
  <si>
    <t>CUST4942</t>
  </si>
  <si>
    <t>CUST3644</t>
  </si>
  <si>
    <t>CUST7086</t>
  </si>
  <si>
    <t>CUST7759</t>
  </si>
  <si>
    <t>CUST3632</t>
  </si>
  <si>
    <t>CUST8346</t>
  </si>
  <si>
    <t>CUST3499</t>
  </si>
  <si>
    <t>CUST7317</t>
  </si>
  <si>
    <t>CUST1737</t>
  </si>
  <si>
    <t>CUST2771</t>
  </si>
  <si>
    <t>CUST8794</t>
  </si>
  <si>
    <t>CUST3714</t>
  </si>
  <si>
    <t>Total Revenue</t>
  </si>
  <si>
    <t>Revenue by Gender</t>
  </si>
  <si>
    <t>Revenue by Category</t>
  </si>
  <si>
    <t>CalculatedTotal</t>
  </si>
  <si>
    <t>validation</t>
  </si>
  <si>
    <t>age group</t>
  </si>
  <si>
    <t>TransactionType</t>
  </si>
  <si>
    <t>month</t>
  </si>
  <si>
    <t>total revenue</t>
  </si>
  <si>
    <t>Male Revenue</t>
  </si>
  <si>
    <t>female revenu</t>
  </si>
  <si>
    <t>REVENUE BY CATEGORY</t>
  </si>
  <si>
    <t>CLOTHING</t>
  </si>
  <si>
    <t>SPORT</t>
  </si>
  <si>
    <t>HOME</t>
  </si>
  <si>
    <t>COUNT TRANSACTION BY PAYMENT</t>
  </si>
  <si>
    <t>CR CARD</t>
  </si>
  <si>
    <t>January</t>
  </si>
  <si>
    <t>November</t>
  </si>
  <si>
    <t>February</t>
  </si>
  <si>
    <t>March</t>
  </si>
  <si>
    <t>April</t>
  </si>
  <si>
    <t>May</t>
  </si>
  <si>
    <t>June</t>
  </si>
  <si>
    <t>July</t>
  </si>
  <si>
    <t>December</t>
  </si>
  <si>
    <t>august</t>
  </si>
  <si>
    <t>september</t>
  </si>
  <si>
    <t>october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</si>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</sst>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Algerian"/>
      <family val="5"/>
    </font>
    <font>
      <sz val="11"/>
      <color theme="1"/>
      <name val="Algerian"/>
      <family val="5"/>
    </font>
    <font>
      <sz val="12"/>
      <name val="Algerian"/>
      <family val="5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2" xfId="0" applyBorder="1" applyAlignment="1">
      <alignment horizontal="center" vertical="center"/>
    </xf>
    <xf numFmtId="0" fontId="3" fillId="0" borderId="0" xfId="0" applyFont="1"/>
    <xf numFmtId="0" fontId="5" fillId="0" borderId="0" xfId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/>
    <xf numFmtId="0" fontId="3" fillId="3" borderId="3" xfId="0" applyFont="1" applyFill="1" applyBorder="1"/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2" borderId="1" xfId="0" applyFont="1" applyFill="1" applyBorder="1"/>
    <xf numFmtId="0" fontId="0" fillId="2" borderId="1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93F-457A-9350-B4B1BE8251F3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93F-457A-9350-B4B1BE8251F3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93F-457A-9350-B4B1BE8251F3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93F-457A-9350-B4B1BE8251F3}"/>
              </c:ext>
            </c:extLst>
          </c:dPt>
          <c:cat>
            <c:strRef>
              <c:f>GRAPH!$A$8:$A$11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Sports</c:v>
                </c:pt>
              </c:strCache>
            </c:strRef>
          </c:cat>
          <c:val>
            <c:numRef>
              <c:f>GRAPH!$B$8:$B$11</c:f>
              <c:numCache>
                <c:formatCode>General</c:formatCode>
                <c:ptCount val="4"/>
                <c:pt idx="0">
                  <c:v>425923</c:v>
                </c:pt>
                <c:pt idx="1">
                  <c:v>355920</c:v>
                </c:pt>
                <c:pt idx="2">
                  <c:v>449390</c:v>
                </c:pt>
                <c:pt idx="3">
                  <c:v>380509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D-41A5-80B7-97D88A03A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GRAPH!$B$20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strRef>
              <c:f>GRAPH!$A$21:$A$32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GRAPH!$B$21:$B$32</c:f>
              <c:numCache>
                <c:formatCode>General</c:formatCode>
                <c:ptCount val="12"/>
                <c:pt idx="0">
                  <c:v>135691</c:v>
                </c:pt>
                <c:pt idx="1">
                  <c:v>99937</c:v>
                </c:pt>
                <c:pt idx="2">
                  <c:v>179507</c:v>
                </c:pt>
                <c:pt idx="3">
                  <c:v>179507</c:v>
                </c:pt>
                <c:pt idx="4">
                  <c:v>149653</c:v>
                </c:pt>
                <c:pt idx="5">
                  <c:v>179507</c:v>
                </c:pt>
                <c:pt idx="6">
                  <c:v>99937</c:v>
                </c:pt>
                <c:pt idx="7">
                  <c:v>131113</c:v>
                </c:pt>
                <c:pt idx="8">
                  <c:v>135691</c:v>
                </c:pt>
                <c:pt idx="9">
                  <c:v>79012</c:v>
                </c:pt>
                <c:pt idx="10">
                  <c:v>158620</c:v>
                </c:pt>
                <c:pt idx="11">
                  <c:v>131113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6B-4B0B-B9ED-4374F60BD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622320"/>
        <c:axId val="932623760"/>
        <c:axId val="937891968"/>
      </c:line3DChart>
      <c:catAx>
        <c:axId val="93262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23760"/>
        <c:crosses val="autoZero"/>
        <c:auto val="1"/>
        <c:lblAlgn val="ctr"/>
        <c:lblOffset val="100"/>
        <c:noMultiLvlLbl val="0"/>
      </c:catAx>
      <c:valAx>
        <c:axId val="9326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22320"/>
        <c:crosses val="autoZero"/>
        <c:crossBetween val="between"/>
      </c:valAx>
      <c:serAx>
        <c:axId val="937891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2376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9C-44CF-A1A6-CDECBA7E0B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9C-44CF-A1A6-CDECBA7E0B7C}"/>
              </c:ext>
            </c:extLst>
          </c:dPt>
          <c:cat>
            <c:strRef>
              <c:f>GRAPH!$S$26:$T$26</c:f>
              <c:strCache>
                <c:ptCount val="2"/>
                <c:pt idx="0">
                  <c:v>UPI</c:v>
                </c:pt>
                <c:pt idx="1">
                  <c:v>CR CARD</c:v>
                </c:pt>
              </c:strCache>
            </c:strRef>
          </c:cat>
          <c:val>
            <c:numRef>
              <c:f>GRAPH!$S$27:$T$27</c:f>
              <c:numCache>
                <c:formatCode>General</c:formatCode>
                <c:ptCount val="2"/>
                <c:pt idx="0">
                  <c:v>57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B44-856E-F4CC19B1F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GRAPH!$A$41:$B$41</c:f>
              <c:strCache>
                <c:ptCount val="2"/>
                <c:pt idx="0">
                  <c:v>Male Revenue</c:v>
                </c:pt>
                <c:pt idx="1">
                  <c:v>female revenu</c:v>
                </c:pt>
              </c:strCache>
            </c:strRef>
          </c:cat>
          <c:val>
            <c:numRef>
              <c:f>GRAPH!$A$42:$B$42</c:f>
              <c:numCache>
                <c:formatCode>General</c:formatCode>
                <c:ptCount val="2"/>
                <c:pt idx="0">
                  <c:v>789550</c:v>
                </c:pt>
                <c:pt idx="1">
                  <c:v>822192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2-4F79-919F-0E7522752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177073888"/>
        <c:axId val="1177066208"/>
        <c:axId val="0"/>
      </c:bar3DChart>
      <c:catAx>
        <c:axId val="117707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066208"/>
        <c:crosses val="autoZero"/>
        <c:auto val="1"/>
        <c:lblAlgn val="ctr"/>
        <c:lblOffset val="100"/>
        <c:noMultiLvlLbl val="0"/>
      </c:catAx>
      <c:valAx>
        <c:axId val="117706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07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166254</xdr:colOff>
      <xdr:row>1</xdr:row>
      <xdr:rowOff>160007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6</xdr:col>
      <xdr:colOff>371929</xdr:colOff>
      <xdr:row>18</xdr:row>
      <xdr:rowOff>84365</xdr:rowOff>
    </xdr:from>
    <xdr:to>
      <xdr:col>14</xdr:col>
      <xdr:colOff>81643</xdr:colOff>
      <xdr:row>33</xdr:row>
      <xdr:rowOff>78922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D50739-56FD-B3BC-0762-FD76387A7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494889</xdr:colOff>
      <xdr:row>8</xdr:row>
      <xdr:rowOff>41561</xdr:rowOff>
    </xdr:from>
    <xdr:to>
      <xdr:col>27</xdr:col>
      <xdr:colOff>415000</xdr:colOff>
      <xdr:row>23</xdr:row>
      <xdr:rowOff>13326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D67E4F4-29B6-06A8-3D63-D08399D9C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421410</xdr:colOff>
      <xdr:row>37</xdr:row>
      <xdr:rowOff>8081</xdr:rowOff>
    </xdr:from>
    <xdr:to>
      <xdr:col>14</xdr:col>
      <xdr:colOff>98137</xdr:colOff>
      <xdr:row>51</xdr:row>
      <xdr:rowOff>118918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B4D15E-2582-95A5-E8F1-CD858189C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2"/>
  <sheetViews>
    <sheetView topLeftCell="J1" zoomScale="83" zoomScaleNormal="14" workbookViewId="0">
      <selection activeCell="V2" sqref="V2:W13"/>
    </sheetView>
  </sheetViews>
  <sheetFormatPr defaultRowHeight="14.4" x14ac:dyDescent="0.3"/>
  <cols>
    <col min="1" max="1" width="16.21875" bestFit="1" customWidth="1"/>
    <col min="2" max="2" width="10.77734375" bestFit="1" customWidth="1"/>
    <col min="4" max="4" width="17.44140625" customWidth="1"/>
    <col min="5" max="5" width="22.44140625" bestFit="1" customWidth="1"/>
    <col min="6" max="6" width="12.21875" bestFit="1" customWidth="1"/>
    <col min="7" max="7" width="11.5546875" customWidth="1"/>
    <col min="8" max="8" width="17.6640625" bestFit="1" customWidth="1"/>
    <col min="9" max="9" width="21.109375" bestFit="1" customWidth="1"/>
    <col min="10" max="10" width="21.88671875" bestFit="1" customWidth="1"/>
    <col min="11" max="11" width="22.6640625" customWidth="1"/>
    <col min="12" max="12" width="13.77734375" bestFit="1" customWidth="1"/>
    <col min="13" max="13" width="14.44140625" customWidth="1"/>
    <col min="14" max="14" width="20.109375" bestFit="1" customWidth="1"/>
    <col min="15" max="16" width="13.44140625" customWidth="1"/>
    <col min="17" max="17" width="20" bestFit="1" customWidth="1"/>
    <col min="18" max="18" width="37.77734375" customWidth="1"/>
    <col min="19" max="19" width="19.5546875" bestFit="1" customWidth="1"/>
    <col min="22" max="22" width="12.21875" bestFit="1" customWidth="1"/>
    <col min="23" max="23" width="15.109375" customWidth="1"/>
  </cols>
  <sheetData>
    <row r="1" spans="1:31" ht="16.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227</v>
      </c>
      <c r="L1" s="8" t="s">
        <v>228</v>
      </c>
      <c r="M1" s="8" t="s">
        <v>229</v>
      </c>
      <c r="N1" s="9" t="s">
        <v>230</v>
      </c>
      <c r="O1" s="10" t="s">
        <v>231</v>
      </c>
      <c r="P1" s="4"/>
      <c r="Q1" s="11" t="s">
        <v>232</v>
      </c>
      <c r="R1" s="11" t="s">
        <v>233</v>
      </c>
      <c r="S1" s="11" t="s">
        <v>234</v>
      </c>
      <c r="V1" s="11" t="s">
        <v>231</v>
      </c>
      <c r="W1" s="11" t="s">
        <v>253</v>
      </c>
    </row>
    <row r="2" spans="1:31" x14ac:dyDescent="0.3">
      <c r="A2" s="14" t="s">
        <v>10</v>
      </c>
      <c r="B2" s="14" t="s">
        <v>11</v>
      </c>
      <c r="C2" s="14">
        <v>39</v>
      </c>
      <c r="D2" s="14" t="s">
        <v>12</v>
      </c>
      <c r="E2" s="14" t="s">
        <v>13</v>
      </c>
      <c r="F2" s="14">
        <v>4</v>
      </c>
      <c r="G2" s="14">
        <v>4883</v>
      </c>
      <c r="H2" s="14">
        <v>19532</v>
      </c>
      <c r="I2" s="15">
        <v>45322</v>
      </c>
      <c r="J2" s="14" t="s">
        <v>14</v>
      </c>
      <c r="K2" s="16">
        <f>F2*G2</f>
        <v>19532</v>
      </c>
      <c r="L2" s="16" t="str">
        <f>IF(H2=K2,"Correct","Mismatch")</f>
        <v>Correct</v>
      </c>
      <c r="M2" s="16" t="str">
        <f>IF(C2&lt;20,"Teen",IF(C2&lt;=40,"Adult","Senior"))</f>
        <v>Adult</v>
      </c>
      <c r="N2" s="16" t="str">
        <f>IF(H2&gt;10000,"High Value","Normal")</f>
        <v>High Value</v>
      </c>
      <c r="O2" s="16" t="str">
        <f t="shared" ref="O2:O33" si="0">TEXT(I2,"mmmm")</f>
        <v>January</v>
      </c>
      <c r="Q2" s="16">
        <f>SUM(H:H)</f>
        <v>1611742</v>
      </c>
      <c r="R2" s="16">
        <f>SUMIF(B:B,"Male",H:H)</f>
        <v>789550</v>
      </c>
      <c r="S2" s="16">
        <f>SUMIF(B:B,"Female",H:H)</f>
        <v>822192</v>
      </c>
      <c r="V2" s="19" t="s">
        <v>241</v>
      </c>
      <c r="W2" s="19">
        <f t="shared" ref="W2:W13" si="1">SUMIF(O:O,O2,H:H)</f>
        <v>135691</v>
      </c>
    </row>
    <row r="3" spans="1:31" x14ac:dyDescent="0.3">
      <c r="A3" s="14" t="s">
        <v>15</v>
      </c>
      <c r="B3" s="14" t="s">
        <v>11</v>
      </c>
      <c r="C3" s="14">
        <v>52</v>
      </c>
      <c r="D3" s="14" t="s">
        <v>16</v>
      </c>
      <c r="E3" s="14" t="s">
        <v>13</v>
      </c>
      <c r="F3" s="14">
        <v>2</v>
      </c>
      <c r="G3" s="14">
        <v>4463</v>
      </c>
      <c r="H3" s="14">
        <v>8926</v>
      </c>
      <c r="I3" s="15">
        <v>45611</v>
      </c>
      <c r="J3" s="14" t="s">
        <v>17</v>
      </c>
      <c r="K3" s="16">
        <f t="shared" ref="K3:K66" si="2">F3*G3</f>
        <v>8926</v>
      </c>
      <c r="L3" s="16" t="str">
        <f t="shared" ref="L3:L66" si="3">IF(H3=K3,"Correct","Mismatch")</f>
        <v>Correct</v>
      </c>
      <c r="M3" s="16" t="str">
        <f t="shared" ref="M3:M66" si="4">IF(C3&lt;20,"Teen",IF(C3&lt;=40,"Adult","Senior"))</f>
        <v>Senior</v>
      </c>
      <c r="N3" s="16" t="str">
        <f t="shared" ref="N3:N66" si="5">IF(H3&gt;10000,"High Value","Normal")</f>
        <v>Normal</v>
      </c>
      <c r="O3" s="16" t="str">
        <f t="shared" si="0"/>
        <v>November</v>
      </c>
      <c r="V3" s="19" t="s">
        <v>243</v>
      </c>
      <c r="W3" s="19">
        <f t="shared" si="1"/>
        <v>99937</v>
      </c>
    </row>
    <row r="4" spans="1:31" x14ac:dyDescent="0.3">
      <c r="A4" s="14" t="s">
        <v>18</v>
      </c>
      <c r="B4" s="14" t="s">
        <v>19</v>
      </c>
      <c r="C4" s="14">
        <v>51</v>
      </c>
      <c r="D4" s="14" t="s">
        <v>16</v>
      </c>
      <c r="E4" s="14" t="s">
        <v>20</v>
      </c>
      <c r="F4" s="14">
        <v>5</v>
      </c>
      <c r="G4" s="14">
        <v>2269</v>
      </c>
      <c r="H4" s="14">
        <v>11345</v>
      </c>
      <c r="I4" s="15">
        <v>45358</v>
      </c>
      <c r="J4" s="14" t="s">
        <v>21</v>
      </c>
      <c r="K4" s="16">
        <f t="shared" si="2"/>
        <v>11345</v>
      </c>
      <c r="L4" s="16" t="str">
        <f t="shared" si="3"/>
        <v>Correct</v>
      </c>
      <c r="M4" s="16" t="str">
        <f t="shared" si="4"/>
        <v>Senior</v>
      </c>
      <c r="N4" s="16" t="str">
        <f t="shared" si="5"/>
        <v>High Value</v>
      </c>
      <c r="O4" s="16" t="str">
        <f t="shared" si="0"/>
        <v>March</v>
      </c>
      <c r="V4" s="19" t="s">
        <v>244</v>
      </c>
      <c r="W4" s="19">
        <f t="shared" si="1"/>
        <v>179507</v>
      </c>
    </row>
    <row r="5" spans="1:31" ht="15" x14ac:dyDescent="0.3">
      <c r="A5" s="14" t="s">
        <v>22</v>
      </c>
      <c r="B5" s="14" t="s">
        <v>19</v>
      </c>
      <c r="C5" s="14">
        <v>33</v>
      </c>
      <c r="D5" s="14" t="s">
        <v>12</v>
      </c>
      <c r="E5" s="14" t="s">
        <v>23</v>
      </c>
      <c r="F5" s="14">
        <v>2</v>
      </c>
      <c r="G5" s="14">
        <v>988</v>
      </c>
      <c r="H5" s="14">
        <v>1976</v>
      </c>
      <c r="I5" s="15">
        <v>45370</v>
      </c>
      <c r="J5" s="14" t="s">
        <v>24</v>
      </c>
      <c r="K5" s="16">
        <f t="shared" si="2"/>
        <v>1976</v>
      </c>
      <c r="L5" s="16" t="str">
        <f t="shared" si="3"/>
        <v>Correct</v>
      </c>
      <c r="M5" s="16" t="str">
        <f t="shared" si="4"/>
        <v>Adult</v>
      </c>
      <c r="N5" s="16" t="str">
        <f t="shared" si="5"/>
        <v>Normal</v>
      </c>
      <c r="O5" s="16" t="str">
        <f t="shared" si="0"/>
        <v>March</v>
      </c>
      <c r="Q5" s="12" t="s">
        <v>235</v>
      </c>
      <c r="R5" s="12"/>
      <c r="S5" s="12"/>
      <c r="T5" s="13"/>
      <c r="U5" s="5"/>
      <c r="V5" s="19" t="s">
        <v>245</v>
      </c>
      <c r="W5" s="19">
        <f t="shared" si="1"/>
        <v>179507</v>
      </c>
    </row>
    <row r="6" spans="1:31" ht="15" x14ac:dyDescent="0.3">
      <c r="A6" s="14" t="s">
        <v>25</v>
      </c>
      <c r="B6" s="14" t="s">
        <v>11</v>
      </c>
      <c r="C6" s="14">
        <v>50</v>
      </c>
      <c r="D6" s="14" t="s">
        <v>26</v>
      </c>
      <c r="E6" s="14" t="s">
        <v>20</v>
      </c>
      <c r="F6" s="14">
        <v>2</v>
      </c>
      <c r="G6" s="14">
        <v>4645</v>
      </c>
      <c r="H6" s="14">
        <v>9290</v>
      </c>
      <c r="I6" s="15">
        <v>45590</v>
      </c>
      <c r="J6" s="14" t="s">
        <v>14</v>
      </c>
      <c r="K6" s="16">
        <f t="shared" si="2"/>
        <v>9290</v>
      </c>
      <c r="L6" s="16" t="str">
        <f t="shared" si="3"/>
        <v>Correct</v>
      </c>
      <c r="M6" s="16" t="str">
        <f t="shared" si="4"/>
        <v>Senior</v>
      </c>
      <c r="N6" s="16" t="str">
        <f t="shared" si="5"/>
        <v>Normal</v>
      </c>
      <c r="O6" s="16" t="str">
        <f t="shared" si="0"/>
        <v>October</v>
      </c>
      <c r="Q6" s="17" t="s">
        <v>23</v>
      </c>
      <c r="R6" s="17" t="s">
        <v>236</v>
      </c>
      <c r="S6" s="17" t="s">
        <v>237</v>
      </c>
      <c r="T6" s="18" t="s">
        <v>238</v>
      </c>
      <c r="U6" s="2"/>
      <c r="V6" s="19" t="s">
        <v>246</v>
      </c>
      <c r="W6" s="19">
        <f t="shared" si="1"/>
        <v>149653</v>
      </c>
      <c r="AC6" s="7"/>
      <c r="AD6" s="7"/>
      <c r="AE6" s="7"/>
    </row>
    <row r="7" spans="1:31" ht="15" x14ac:dyDescent="0.3">
      <c r="A7" s="14" t="s">
        <v>27</v>
      </c>
      <c r="B7" s="14" t="s">
        <v>19</v>
      </c>
      <c r="C7" s="14">
        <v>50</v>
      </c>
      <c r="D7" s="14" t="s">
        <v>28</v>
      </c>
      <c r="E7" s="14" t="s">
        <v>23</v>
      </c>
      <c r="F7" s="14">
        <v>4</v>
      </c>
      <c r="G7" s="14">
        <v>4541</v>
      </c>
      <c r="H7" s="14">
        <v>18164</v>
      </c>
      <c r="I7" s="15">
        <v>45369</v>
      </c>
      <c r="J7" s="14" t="s">
        <v>24</v>
      </c>
      <c r="K7" s="16">
        <f t="shared" si="2"/>
        <v>18164</v>
      </c>
      <c r="L7" s="16" t="str">
        <f t="shared" si="3"/>
        <v>Correct</v>
      </c>
      <c r="M7" s="16" t="str">
        <f t="shared" si="4"/>
        <v>Senior</v>
      </c>
      <c r="N7" s="16" t="str">
        <f t="shared" si="5"/>
        <v>High Value</v>
      </c>
      <c r="O7" s="16" t="str">
        <f t="shared" si="0"/>
        <v>March</v>
      </c>
      <c r="Q7" s="17">
        <f>SUMIF(E:E,"Electronics",H:H)</f>
        <v>425923</v>
      </c>
      <c r="R7" s="17">
        <f>SUMIF(E:E,"Clothing",H:H)</f>
        <v>355920</v>
      </c>
      <c r="S7" s="17">
        <f>SUMIF(E:E,"Sports",H:H)</f>
        <v>380509</v>
      </c>
      <c r="T7" s="18">
        <f>SUMIF(E:E,"Home",H:H)</f>
        <v>449390</v>
      </c>
      <c r="U7" s="2"/>
      <c r="V7" s="19" t="s">
        <v>247</v>
      </c>
      <c r="W7" s="19">
        <f t="shared" si="1"/>
        <v>179507</v>
      </c>
    </row>
    <row r="8" spans="1:31" ht="15" x14ac:dyDescent="0.3">
      <c r="A8" s="14" t="s">
        <v>29</v>
      </c>
      <c r="B8" s="14" t="s">
        <v>19</v>
      </c>
      <c r="C8" s="14">
        <v>27</v>
      </c>
      <c r="D8" s="14" t="s">
        <v>16</v>
      </c>
      <c r="E8" s="14" t="s">
        <v>20</v>
      </c>
      <c r="F8" s="14">
        <v>1</v>
      </c>
      <c r="G8" s="14">
        <v>4468</v>
      </c>
      <c r="H8" s="14">
        <v>4468</v>
      </c>
      <c r="I8" s="15">
        <v>45600</v>
      </c>
      <c r="J8" s="14" t="s">
        <v>14</v>
      </c>
      <c r="K8" s="16">
        <f t="shared" si="2"/>
        <v>4468</v>
      </c>
      <c r="L8" s="16" t="str">
        <f t="shared" si="3"/>
        <v>Correct</v>
      </c>
      <c r="M8" s="16" t="str">
        <f t="shared" si="4"/>
        <v>Adult</v>
      </c>
      <c r="N8" s="16" t="str">
        <f t="shared" si="5"/>
        <v>Normal</v>
      </c>
      <c r="O8" s="16" t="str">
        <f t="shared" si="0"/>
        <v>November</v>
      </c>
      <c r="Q8" s="2"/>
      <c r="R8" s="2"/>
      <c r="S8" s="2"/>
      <c r="T8" s="2"/>
      <c r="U8" s="2"/>
      <c r="V8" s="19" t="s">
        <v>248</v>
      </c>
      <c r="W8" s="19">
        <f t="shared" si="1"/>
        <v>99937</v>
      </c>
    </row>
    <row r="9" spans="1:31" ht="15" x14ac:dyDescent="0.3">
      <c r="A9" s="14" t="s">
        <v>30</v>
      </c>
      <c r="B9" s="14" t="s">
        <v>11</v>
      </c>
      <c r="C9" s="14">
        <v>22</v>
      </c>
      <c r="D9" s="14" t="s">
        <v>12</v>
      </c>
      <c r="E9" s="14" t="s">
        <v>31</v>
      </c>
      <c r="F9" s="14">
        <v>5</v>
      </c>
      <c r="G9" s="14">
        <v>4988</v>
      </c>
      <c r="H9" s="14">
        <v>24940</v>
      </c>
      <c r="I9" s="15">
        <v>45474</v>
      </c>
      <c r="J9" s="14" t="s">
        <v>21</v>
      </c>
      <c r="K9" s="16">
        <f t="shared" si="2"/>
        <v>24940</v>
      </c>
      <c r="L9" s="16" t="str">
        <f t="shared" si="3"/>
        <v>Correct</v>
      </c>
      <c r="M9" s="16" t="str">
        <f t="shared" si="4"/>
        <v>Adult</v>
      </c>
      <c r="N9" s="16" t="str">
        <f t="shared" si="5"/>
        <v>High Value</v>
      </c>
      <c r="O9" s="16" t="str">
        <f t="shared" si="0"/>
        <v>July</v>
      </c>
      <c r="S9" s="2"/>
      <c r="T9" s="2"/>
      <c r="U9" s="2"/>
      <c r="V9" s="19" t="s">
        <v>250</v>
      </c>
      <c r="W9" s="19">
        <f t="shared" si="1"/>
        <v>131113</v>
      </c>
    </row>
    <row r="10" spans="1:31" ht="15" x14ac:dyDescent="0.3">
      <c r="A10" s="14" t="s">
        <v>32</v>
      </c>
      <c r="B10" s="14" t="s">
        <v>11</v>
      </c>
      <c r="C10" s="14">
        <v>41</v>
      </c>
      <c r="D10" s="14" t="s">
        <v>26</v>
      </c>
      <c r="E10" s="14" t="s">
        <v>20</v>
      </c>
      <c r="F10" s="14">
        <v>2</v>
      </c>
      <c r="G10" s="14">
        <v>3838</v>
      </c>
      <c r="H10" s="14">
        <v>7676</v>
      </c>
      <c r="I10" s="15">
        <v>45299</v>
      </c>
      <c r="J10" s="14" t="s">
        <v>14</v>
      </c>
      <c r="K10" s="16">
        <f t="shared" si="2"/>
        <v>7676</v>
      </c>
      <c r="L10" s="16" t="str">
        <f t="shared" si="3"/>
        <v>Correct</v>
      </c>
      <c r="M10" s="16" t="str">
        <f t="shared" si="4"/>
        <v>Senior</v>
      </c>
      <c r="N10" s="16" t="str">
        <f t="shared" si="5"/>
        <v>Normal</v>
      </c>
      <c r="O10" s="16" t="str">
        <f t="shared" si="0"/>
        <v>January</v>
      </c>
      <c r="S10" s="2"/>
      <c r="T10" s="2"/>
      <c r="U10" s="2"/>
      <c r="V10" s="19" t="s">
        <v>251</v>
      </c>
      <c r="W10" s="19">
        <f t="shared" si="1"/>
        <v>135691</v>
      </c>
    </row>
    <row r="11" spans="1:31" ht="15" x14ac:dyDescent="0.3">
      <c r="A11" s="14" t="s">
        <v>33</v>
      </c>
      <c r="B11" s="14" t="s">
        <v>11</v>
      </c>
      <c r="C11" s="14">
        <v>46</v>
      </c>
      <c r="D11" s="14" t="s">
        <v>26</v>
      </c>
      <c r="E11" s="14" t="s">
        <v>23</v>
      </c>
      <c r="F11" s="14">
        <v>2</v>
      </c>
      <c r="G11" s="14">
        <v>2043</v>
      </c>
      <c r="H11" s="14">
        <v>4086</v>
      </c>
      <c r="I11" s="15">
        <v>45391</v>
      </c>
      <c r="J11" s="14" t="s">
        <v>14</v>
      </c>
      <c r="K11" s="16">
        <f t="shared" si="2"/>
        <v>4086</v>
      </c>
      <c r="L11" s="16" t="str">
        <f t="shared" si="3"/>
        <v>Correct</v>
      </c>
      <c r="M11" s="16" t="str">
        <f t="shared" si="4"/>
        <v>Senior</v>
      </c>
      <c r="N11" s="16" t="str">
        <f t="shared" si="5"/>
        <v>Normal</v>
      </c>
      <c r="O11" s="16" t="str">
        <f t="shared" si="0"/>
        <v>April</v>
      </c>
      <c r="S11" s="2"/>
      <c r="T11" s="2"/>
      <c r="U11" s="2"/>
      <c r="V11" s="19" t="s">
        <v>252</v>
      </c>
      <c r="W11" s="19">
        <f t="shared" si="1"/>
        <v>79012</v>
      </c>
    </row>
    <row r="12" spans="1:31" x14ac:dyDescent="0.3">
      <c r="A12" s="14" t="s">
        <v>34</v>
      </c>
      <c r="B12" s="14" t="s">
        <v>11</v>
      </c>
      <c r="C12" s="14">
        <v>50</v>
      </c>
      <c r="D12" s="14" t="s">
        <v>28</v>
      </c>
      <c r="E12" s="14" t="s">
        <v>23</v>
      </c>
      <c r="F12" s="14">
        <v>2</v>
      </c>
      <c r="G12" s="14">
        <v>967</v>
      </c>
      <c r="H12" s="14">
        <v>1934</v>
      </c>
      <c r="I12" s="15">
        <v>45560</v>
      </c>
      <c r="J12" s="14" t="s">
        <v>24</v>
      </c>
      <c r="K12" s="16">
        <f t="shared" si="2"/>
        <v>1934</v>
      </c>
      <c r="L12" s="16" t="str">
        <f t="shared" si="3"/>
        <v>Correct</v>
      </c>
      <c r="M12" s="16" t="str">
        <f t="shared" si="4"/>
        <v>Senior</v>
      </c>
      <c r="N12" s="16" t="str">
        <f t="shared" si="5"/>
        <v>Normal</v>
      </c>
      <c r="O12" s="16" t="str">
        <f t="shared" si="0"/>
        <v>September</v>
      </c>
      <c r="V12" s="19" t="s">
        <v>242</v>
      </c>
      <c r="W12" s="19">
        <f t="shared" si="1"/>
        <v>158620</v>
      </c>
    </row>
    <row r="13" spans="1:31" x14ac:dyDescent="0.3">
      <c r="A13" s="14" t="s">
        <v>35</v>
      </c>
      <c r="B13" s="14" t="s">
        <v>19</v>
      </c>
      <c r="C13" s="14">
        <v>51</v>
      </c>
      <c r="D13" s="14" t="s">
        <v>12</v>
      </c>
      <c r="E13" s="14" t="s">
        <v>13</v>
      </c>
      <c r="F13" s="14">
        <v>3</v>
      </c>
      <c r="G13" s="14">
        <v>4223</v>
      </c>
      <c r="H13" s="14">
        <v>12669</v>
      </c>
      <c r="I13" s="15">
        <v>45474</v>
      </c>
      <c r="J13" s="14" t="s">
        <v>17</v>
      </c>
      <c r="K13" s="16">
        <f t="shared" si="2"/>
        <v>12669</v>
      </c>
      <c r="L13" s="16" t="str">
        <f t="shared" si="3"/>
        <v>Correct</v>
      </c>
      <c r="M13" s="16" t="str">
        <f t="shared" si="4"/>
        <v>Senior</v>
      </c>
      <c r="N13" s="16" t="str">
        <f t="shared" si="5"/>
        <v>High Value</v>
      </c>
      <c r="O13" s="16" t="str">
        <f t="shared" si="0"/>
        <v>July</v>
      </c>
      <c r="V13" s="19" t="s">
        <v>249</v>
      </c>
      <c r="W13" s="19">
        <f t="shared" si="1"/>
        <v>131113</v>
      </c>
    </row>
    <row r="14" spans="1:31" x14ac:dyDescent="0.3">
      <c r="A14" s="14" t="s">
        <v>36</v>
      </c>
      <c r="B14" s="14" t="s">
        <v>19</v>
      </c>
      <c r="C14" s="14">
        <v>45</v>
      </c>
      <c r="D14" s="14" t="s">
        <v>16</v>
      </c>
      <c r="E14" s="14" t="s">
        <v>20</v>
      </c>
      <c r="F14" s="14">
        <v>4</v>
      </c>
      <c r="G14" s="14">
        <v>1807</v>
      </c>
      <c r="H14" s="14">
        <v>7228</v>
      </c>
      <c r="I14" s="15">
        <v>45400</v>
      </c>
      <c r="J14" s="14" t="s">
        <v>17</v>
      </c>
      <c r="K14" s="16">
        <f t="shared" si="2"/>
        <v>7228</v>
      </c>
      <c r="L14" s="16" t="str">
        <f t="shared" si="3"/>
        <v>Correct</v>
      </c>
      <c r="M14" s="16" t="str">
        <f t="shared" si="4"/>
        <v>Senior</v>
      </c>
      <c r="N14" s="16" t="str">
        <f t="shared" si="5"/>
        <v>Normal</v>
      </c>
      <c r="O14" s="16" t="str">
        <f t="shared" si="0"/>
        <v>April</v>
      </c>
    </row>
    <row r="15" spans="1:31" x14ac:dyDescent="0.3">
      <c r="A15" s="14" t="s">
        <v>37</v>
      </c>
      <c r="B15" s="14" t="s">
        <v>19</v>
      </c>
      <c r="C15" s="14">
        <v>32</v>
      </c>
      <c r="D15" s="14" t="s">
        <v>16</v>
      </c>
      <c r="E15" s="14" t="s">
        <v>13</v>
      </c>
      <c r="F15" s="14">
        <v>1</v>
      </c>
      <c r="G15" s="14">
        <v>777</v>
      </c>
      <c r="H15" s="14">
        <v>777</v>
      </c>
      <c r="I15" s="15">
        <v>45537</v>
      </c>
      <c r="J15" s="14" t="s">
        <v>24</v>
      </c>
      <c r="K15" s="16">
        <f t="shared" si="2"/>
        <v>777</v>
      </c>
      <c r="L15" s="16" t="str">
        <f t="shared" si="3"/>
        <v>Correct</v>
      </c>
      <c r="M15" s="16" t="str">
        <f t="shared" si="4"/>
        <v>Adult</v>
      </c>
      <c r="N15" s="16" t="str">
        <f t="shared" si="5"/>
        <v>Normal</v>
      </c>
      <c r="O15" s="16" t="str">
        <f t="shared" si="0"/>
        <v>September</v>
      </c>
    </row>
    <row r="16" spans="1:31" x14ac:dyDescent="0.3">
      <c r="A16" s="14" t="s">
        <v>38</v>
      </c>
      <c r="B16" s="14" t="s">
        <v>11</v>
      </c>
      <c r="C16" s="14">
        <v>40</v>
      </c>
      <c r="D16" s="14" t="s">
        <v>26</v>
      </c>
      <c r="E16" s="14" t="s">
        <v>20</v>
      </c>
      <c r="F16" s="14">
        <v>1</v>
      </c>
      <c r="G16" s="14">
        <v>3681</v>
      </c>
      <c r="H16" s="14">
        <v>3681</v>
      </c>
      <c r="I16" s="15">
        <v>45297</v>
      </c>
      <c r="J16" s="14" t="s">
        <v>24</v>
      </c>
      <c r="K16" s="16">
        <f t="shared" si="2"/>
        <v>3681</v>
      </c>
      <c r="L16" s="16" t="str">
        <f t="shared" si="3"/>
        <v>Correct</v>
      </c>
      <c r="M16" s="16" t="str">
        <f t="shared" si="4"/>
        <v>Adult</v>
      </c>
      <c r="N16" s="16" t="str">
        <f t="shared" si="5"/>
        <v>Normal</v>
      </c>
      <c r="O16" s="16" t="str">
        <f t="shared" si="0"/>
        <v>January</v>
      </c>
      <c r="AE16" s="3"/>
    </row>
    <row r="17" spans="1:15" x14ac:dyDescent="0.3">
      <c r="A17" s="14" t="s">
        <v>39</v>
      </c>
      <c r="B17" s="14" t="s">
        <v>19</v>
      </c>
      <c r="C17" s="14">
        <v>20</v>
      </c>
      <c r="D17" s="14" t="s">
        <v>16</v>
      </c>
      <c r="E17" s="14" t="s">
        <v>31</v>
      </c>
      <c r="F17" s="14">
        <v>4</v>
      </c>
      <c r="G17" s="14">
        <v>589</v>
      </c>
      <c r="H17" s="14">
        <v>2356</v>
      </c>
      <c r="I17" s="15">
        <v>45484</v>
      </c>
      <c r="J17" s="14" t="s">
        <v>17</v>
      </c>
      <c r="K17" s="16">
        <f t="shared" si="2"/>
        <v>2356</v>
      </c>
      <c r="L17" s="16" t="str">
        <f t="shared" si="3"/>
        <v>Correct</v>
      </c>
      <c r="M17" s="16" t="str">
        <f t="shared" si="4"/>
        <v>Adult</v>
      </c>
      <c r="N17" s="16" t="str">
        <f t="shared" si="5"/>
        <v>Normal</v>
      </c>
      <c r="O17" s="16" t="str">
        <f t="shared" si="0"/>
        <v>July</v>
      </c>
    </row>
    <row r="18" spans="1:15" x14ac:dyDescent="0.3">
      <c r="A18" s="14" t="s">
        <v>40</v>
      </c>
      <c r="B18" s="14" t="s">
        <v>11</v>
      </c>
      <c r="C18" s="14">
        <v>19</v>
      </c>
      <c r="D18" s="14" t="s">
        <v>12</v>
      </c>
      <c r="E18" s="14" t="s">
        <v>31</v>
      </c>
      <c r="F18" s="14">
        <v>4</v>
      </c>
      <c r="G18" s="14">
        <v>4247</v>
      </c>
      <c r="H18" s="14">
        <v>16988</v>
      </c>
      <c r="I18" s="15">
        <v>45657</v>
      </c>
      <c r="J18" s="14" t="s">
        <v>14</v>
      </c>
      <c r="K18" s="16">
        <f t="shared" si="2"/>
        <v>16988</v>
      </c>
      <c r="L18" s="16" t="str">
        <f t="shared" si="3"/>
        <v>Correct</v>
      </c>
      <c r="M18" s="16" t="str">
        <f t="shared" si="4"/>
        <v>Teen</v>
      </c>
      <c r="N18" s="16" t="str">
        <f t="shared" si="5"/>
        <v>High Value</v>
      </c>
      <c r="O18" s="16" t="str">
        <f t="shared" si="0"/>
        <v>December</v>
      </c>
    </row>
    <row r="19" spans="1:15" x14ac:dyDescent="0.3">
      <c r="A19" s="14" t="s">
        <v>41</v>
      </c>
      <c r="B19" s="14" t="s">
        <v>19</v>
      </c>
      <c r="C19" s="14">
        <v>20</v>
      </c>
      <c r="D19" s="14" t="s">
        <v>26</v>
      </c>
      <c r="E19" s="14" t="s">
        <v>23</v>
      </c>
      <c r="F19" s="14">
        <v>4</v>
      </c>
      <c r="G19" s="14">
        <v>2059</v>
      </c>
      <c r="H19" s="14">
        <v>8236</v>
      </c>
      <c r="I19" s="15">
        <v>45308</v>
      </c>
      <c r="J19" s="14" t="s">
        <v>21</v>
      </c>
      <c r="K19" s="16">
        <f t="shared" si="2"/>
        <v>8236</v>
      </c>
      <c r="L19" s="16" t="str">
        <f t="shared" si="3"/>
        <v>Correct</v>
      </c>
      <c r="M19" s="16" t="str">
        <f t="shared" si="4"/>
        <v>Adult</v>
      </c>
      <c r="N19" s="16" t="str">
        <f t="shared" si="5"/>
        <v>Normal</v>
      </c>
      <c r="O19" s="16" t="str">
        <f t="shared" si="0"/>
        <v>January</v>
      </c>
    </row>
    <row r="20" spans="1:15" x14ac:dyDescent="0.3">
      <c r="A20" s="14" t="s">
        <v>42</v>
      </c>
      <c r="B20" s="14" t="s">
        <v>11</v>
      </c>
      <c r="C20" s="14">
        <v>35</v>
      </c>
      <c r="D20" s="14" t="s">
        <v>26</v>
      </c>
      <c r="E20" s="14" t="s">
        <v>20</v>
      </c>
      <c r="F20" s="14">
        <v>4</v>
      </c>
      <c r="G20" s="14">
        <v>1147</v>
      </c>
      <c r="H20" s="14">
        <v>4588</v>
      </c>
      <c r="I20" s="15">
        <v>45640</v>
      </c>
      <c r="J20" s="14" t="s">
        <v>21</v>
      </c>
      <c r="K20" s="16">
        <f t="shared" si="2"/>
        <v>4588</v>
      </c>
      <c r="L20" s="16" t="str">
        <f t="shared" si="3"/>
        <v>Correct</v>
      </c>
      <c r="M20" s="16" t="str">
        <f t="shared" si="4"/>
        <v>Adult</v>
      </c>
      <c r="N20" s="16" t="str">
        <f t="shared" si="5"/>
        <v>Normal</v>
      </c>
      <c r="O20" s="16" t="str">
        <f t="shared" si="0"/>
        <v>December</v>
      </c>
    </row>
    <row r="21" spans="1:15" x14ac:dyDescent="0.3">
      <c r="A21" s="14" t="s">
        <v>43</v>
      </c>
      <c r="B21" s="14" t="s">
        <v>11</v>
      </c>
      <c r="C21" s="14">
        <v>54</v>
      </c>
      <c r="D21" s="14" t="s">
        <v>26</v>
      </c>
      <c r="E21" s="14" t="s">
        <v>20</v>
      </c>
      <c r="F21" s="14">
        <v>2</v>
      </c>
      <c r="G21" s="14">
        <v>3986</v>
      </c>
      <c r="H21" s="14">
        <v>7972</v>
      </c>
      <c r="I21" s="15">
        <v>45594</v>
      </c>
      <c r="J21" s="14" t="s">
        <v>17</v>
      </c>
      <c r="K21" s="16">
        <f t="shared" si="2"/>
        <v>7972</v>
      </c>
      <c r="L21" s="16" t="str">
        <f t="shared" si="3"/>
        <v>Correct</v>
      </c>
      <c r="M21" s="16" t="str">
        <f t="shared" si="4"/>
        <v>Senior</v>
      </c>
      <c r="N21" s="16" t="str">
        <f t="shared" si="5"/>
        <v>Normal</v>
      </c>
      <c r="O21" s="16" t="str">
        <f t="shared" si="0"/>
        <v>October</v>
      </c>
    </row>
    <row r="22" spans="1:15" x14ac:dyDescent="0.3">
      <c r="A22" s="14" t="s">
        <v>44</v>
      </c>
      <c r="B22" s="14" t="s">
        <v>11</v>
      </c>
      <c r="C22" s="14">
        <v>56</v>
      </c>
      <c r="D22" s="14" t="s">
        <v>12</v>
      </c>
      <c r="E22" s="14" t="s">
        <v>23</v>
      </c>
      <c r="F22" s="14">
        <v>2</v>
      </c>
      <c r="G22" s="14">
        <v>2626</v>
      </c>
      <c r="H22" s="14">
        <v>5252</v>
      </c>
      <c r="I22" s="15">
        <v>45558</v>
      </c>
      <c r="J22" s="14" t="s">
        <v>24</v>
      </c>
      <c r="K22" s="16">
        <f t="shared" si="2"/>
        <v>5252</v>
      </c>
      <c r="L22" s="16" t="str">
        <f t="shared" si="3"/>
        <v>Correct</v>
      </c>
      <c r="M22" s="16" t="str">
        <f t="shared" si="4"/>
        <v>Senior</v>
      </c>
      <c r="N22" s="16" t="str">
        <f t="shared" si="5"/>
        <v>Normal</v>
      </c>
      <c r="O22" s="16" t="str">
        <f t="shared" si="0"/>
        <v>September</v>
      </c>
    </row>
    <row r="23" spans="1:15" x14ac:dyDescent="0.3">
      <c r="A23" s="14" t="s">
        <v>45</v>
      </c>
      <c r="B23" s="14" t="s">
        <v>19</v>
      </c>
      <c r="C23" s="14">
        <v>20</v>
      </c>
      <c r="D23" s="14" t="s">
        <v>12</v>
      </c>
      <c r="E23" s="14" t="s">
        <v>13</v>
      </c>
      <c r="F23" s="14">
        <v>5</v>
      </c>
      <c r="G23" s="14">
        <v>1817</v>
      </c>
      <c r="H23" s="14">
        <v>9085</v>
      </c>
      <c r="I23" s="15">
        <v>45333</v>
      </c>
      <c r="J23" s="14" t="s">
        <v>24</v>
      </c>
      <c r="K23" s="16">
        <f t="shared" si="2"/>
        <v>9085</v>
      </c>
      <c r="L23" s="16" t="str">
        <f t="shared" si="3"/>
        <v>Correct</v>
      </c>
      <c r="M23" s="16" t="str">
        <f t="shared" si="4"/>
        <v>Adult</v>
      </c>
      <c r="N23" s="16" t="str">
        <f t="shared" si="5"/>
        <v>Normal</v>
      </c>
      <c r="O23" s="16" t="str">
        <f t="shared" si="0"/>
        <v>February</v>
      </c>
    </row>
    <row r="24" spans="1:15" x14ac:dyDescent="0.3">
      <c r="A24" s="14" t="s">
        <v>46</v>
      </c>
      <c r="B24" s="14" t="s">
        <v>11</v>
      </c>
      <c r="C24" s="14">
        <v>22</v>
      </c>
      <c r="D24" s="14" t="s">
        <v>26</v>
      </c>
      <c r="E24" s="14" t="s">
        <v>13</v>
      </c>
      <c r="F24" s="14">
        <v>5</v>
      </c>
      <c r="G24" s="14">
        <v>4238</v>
      </c>
      <c r="H24" s="14">
        <v>21190</v>
      </c>
      <c r="I24" s="15">
        <v>45567</v>
      </c>
      <c r="J24" s="14" t="s">
        <v>17</v>
      </c>
      <c r="K24" s="16">
        <f t="shared" si="2"/>
        <v>21190</v>
      </c>
      <c r="L24" s="16" t="str">
        <f t="shared" si="3"/>
        <v>Correct</v>
      </c>
      <c r="M24" s="16" t="str">
        <f t="shared" si="4"/>
        <v>Adult</v>
      </c>
      <c r="N24" s="16" t="str">
        <f t="shared" si="5"/>
        <v>High Value</v>
      </c>
      <c r="O24" s="16" t="str">
        <f t="shared" si="0"/>
        <v>October</v>
      </c>
    </row>
    <row r="25" spans="1:15" x14ac:dyDescent="0.3">
      <c r="A25" s="14" t="s">
        <v>47</v>
      </c>
      <c r="B25" s="14" t="s">
        <v>19</v>
      </c>
      <c r="C25" s="14">
        <v>21</v>
      </c>
      <c r="D25" s="14" t="s">
        <v>28</v>
      </c>
      <c r="E25" s="14" t="s">
        <v>31</v>
      </c>
      <c r="F25" s="14">
        <v>5</v>
      </c>
      <c r="G25" s="14">
        <v>2410</v>
      </c>
      <c r="H25" s="14">
        <v>12050</v>
      </c>
      <c r="I25" s="15">
        <v>45418</v>
      </c>
      <c r="J25" s="14" t="s">
        <v>14</v>
      </c>
      <c r="K25" s="16">
        <f t="shared" si="2"/>
        <v>12050</v>
      </c>
      <c r="L25" s="16" t="str">
        <f t="shared" si="3"/>
        <v>Correct</v>
      </c>
      <c r="M25" s="16" t="str">
        <f t="shared" si="4"/>
        <v>Adult</v>
      </c>
      <c r="N25" s="16" t="str">
        <f t="shared" si="5"/>
        <v>High Value</v>
      </c>
      <c r="O25" s="16" t="str">
        <f t="shared" si="0"/>
        <v>May</v>
      </c>
    </row>
    <row r="26" spans="1:15" x14ac:dyDescent="0.3">
      <c r="A26" s="14" t="s">
        <v>48</v>
      </c>
      <c r="B26" s="14" t="s">
        <v>11</v>
      </c>
      <c r="C26" s="14">
        <v>44</v>
      </c>
      <c r="D26" s="14" t="s">
        <v>16</v>
      </c>
      <c r="E26" s="14" t="s">
        <v>31</v>
      </c>
      <c r="F26" s="14">
        <v>3</v>
      </c>
      <c r="G26" s="14">
        <v>3238</v>
      </c>
      <c r="H26" s="14">
        <v>9714</v>
      </c>
      <c r="I26" s="15">
        <v>45464</v>
      </c>
      <c r="J26" s="14" t="s">
        <v>14</v>
      </c>
      <c r="K26" s="16">
        <f t="shared" si="2"/>
        <v>9714</v>
      </c>
      <c r="L26" s="16" t="str">
        <f t="shared" si="3"/>
        <v>Correct</v>
      </c>
      <c r="M26" s="16" t="str">
        <f t="shared" si="4"/>
        <v>Senior</v>
      </c>
      <c r="N26" s="16" t="str">
        <f t="shared" si="5"/>
        <v>Normal</v>
      </c>
      <c r="O26" s="16" t="str">
        <f t="shared" si="0"/>
        <v>June</v>
      </c>
    </row>
    <row r="27" spans="1:15" x14ac:dyDescent="0.3">
      <c r="A27" s="14" t="s">
        <v>49</v>
      </c>
      <c r="B27" s="14" t="s">
        <v>19</v>
      </c>
      <c r="C27" s="14">
        <v>30</v>
      </c>
      <c r="D27" s="14" t="s">
        <v>16</v>
      </c>
      <c r="E27" s="14" t="s">
        <v>31</v>
      </c>
      <c r="F27" s="14">
        <v>1</v>
      </c>
      <c r="G27" s="14">
        <v>4620</v>
      </c>
      <c r="H27" s="14">
        <v>4620</v>
      </c>
      <c r="I27" s="15">
        <v>45555</v>
      </c>
      <c r="J27" s="14" t="s">
        <v>21</v>
      </c>
      <c r="K27" s="16">
        <f t="shared" si="2"/>
        <v>4620</v>
      </c>
      <c r="L27" s="16" t="str">
        <f t="shared" si="3"/>
        <v>Correct</v>
      </c>
      <c r="M27" s="16" t="str">
        <f t="shared" si="4"/>
        <v>Adult</v>
      </c>
      <c r="N27" s="16" t="str">
        <f t="shared" si="5"/>
        <v>Normal</v>
      </c>
      <c r="O27" s="16" t="str">
        <f t="shared" si="0"/>
        <v>September</v>
      </c>
    </row>
    <row r="28" spans="1:15" x14ac:dyDescent="0.3">
      <c r="A28" s="14" t="s">
        <v>50</v>
      </c>
      <c r="B28" s="14" t="s">
        <v>19</v>
      </c>
      <c r="C28" s="14">
        <v>43</v>
      </c>
      <c r="D28" s="14" t="s">
        <v>26</v>
      </c>
      <c r="E28" s="14" t="s">
        <v>13</v>
      </c>
      <c r="F28" s="14">
        <v>2</v>
      </c>
      <c r="G28" s="14">
        <v>982</v>
      </c>
      <c r="H28" s="14">
        <v>1964</v>
      </c>
      <c r="I28" s="15">
        <v>45608</v>
      </c>
      <c r="J28" s="14" t="s">
        <v>21</v>
      </c>
      <c r="K28" s="16">
        <f t="shared" si="2"/>
        <v>1964</v>
      </c>
      <c r="L28" s="16" t="str">
        <f t="shared" si="3"/>
        <v>Correct</v>
      </c>
      <c r="M28" s="16" t="str">
        <f t="shared" si="4"/>
        <v>Senior</v>
      </c>
      <c r="N28" s="16" t="str">
        <f t="shared" si="5"/>
        <v>Normal</v>
      </c>
      <c r="O28" s="16" t="str">
        <f t="shared" si="0"/>
        <v>November</v>
      </c>
    </row>
    <row r="29" spans="1:15" x14ac:dyDescent="0.3">
      <c r="A29" s="14" t="s">
        <v>51</v>
      </c>
      <c r="B29" s="14" t="s">
        <v>11</v>
      </c>
      <c r="C29" s="14">
        <v>28</v>
      </c>
      <c r="D29" s="14" t="s">
        <v>12</v>
      </c>
      <c r="E29" s="14" t="s">
        <v>20</v>
      </c>
      <c r="F29" s="14">
        <v>1</v>
      </c>
      <c r="G29" s="14">
        <v>4171</v>
      </c>
      <c r="H29" s="14">
        <v>4171</v>
      </c>
      <c r="I29" s="15">
        <v>45504</v>
      </c>
      <c r="J29" s="14" t="s">
        <v>17</v>
      </c>
      <c r="K29" s="16">
        <f t="shared" si="2"/>
        <v>4171</v>
      </c>
      <c r="L29" s="16" t="str">
        <f t="shared" si="3"/>
        <v>Correct</v>
      </c>
      <c r="M29" s="16" t="str">
        <f t="shared" si="4"/>
        <v>Adult</v>
      </c>
      <c r="N29" s="16" t="str">
        <f t="shared" si="5"/>
        <v>Normal</v>
      </c>
      <c r="O29" s="16" t="str">
        <f t="shared" si="0"/>
        <v>July</v>
      </c>
    </row>
    <row r="30" spans="1:15" x14ac:dyDescent="0.3">
      <c r="A30" s="14" t="s">
        <v>52</v>
      </c>
      <c r="B30" s="14" t="s">
        <v>19</v>
      </c>
      <c r="C30" s="14">
        <v>28</v>
      </c>
      <c r="D30" s="14" t="s">
        <v>12</v>
      </c>
      <c r="E30" s="14" t="s">
        <v>20</v>
      </c>
      <c r="F30" s="14">
        <v>4</v>
      </c>
      <c r="G30" s="14">
        <v>1602</v>
      </c>
      <c r="H30" s="14">
        <v>6408</v>
      </c>
      <c r="I30" s="15">
        <v>45633</v>
      </c>
      <c r="J30" s="14" t="s">
        <v>24</v>
      </c>
      <c r="K30" s="16">
        <f t="shared" si="2"/>
        <v>6408</v>
      </c>
      <c r="L30" s="16" t="str">
        <f t="shared" si="3"/>
        <v>Correct</v>
      </c>
      <c r="M30" s="16" t="str">
        <f t="shared" si="4"/>
        <v>Adult</v>
      </c>
      <c r="N30" s="16" t="str">
        <f t="shared" si="5"/>
        <v>Normal</v>
      </c>
      <c r="O30" s="16" t="str">
        <f t="shared" si="0"/>
        <v>December</v>
      </c>
    </row>
    <row r="31" spans="1:15" x14ac:dyDescent="0.3">
      <c r="A31" s="14" t="s">
        <v>53</v>
      </c>
      <c r="B31" s="14" t="s">
        <v>11</v>
      </c>
      <c r="C31" s="14">
        <v>52</v>
      </c>
      <c r="D31" s="14" t="s">
        <v>16</v>
      </c>
      <c r="E31" s="14" t="s">
        <v>31</v>
      </c>
      <c r="F31" s="14">
        <v>3</v>
      </c>
      <c r="G31" s="14">
        <v>652</v>
      </c>
      <c r="H31" s="14">
        <v>1956</v>
      </c>
      <c r="I31" s="15">
        <v>45342</v>
      </c>
      <c r="J31" s="14" t="s">
        <v>14</v>
      </c>
      <c r="K31" s="16">
        <f t="shared" si="2"/>
        <v>1956</v>
      </c>
      <c r="L31" s="16" t="str">
        <f t="shared" si="3"/>
        <v>Correct</v>
      </c>
      <c r="M31" s="16" t="str">
        <f t="shared" si="4"/>
        <v>Senior</v>
      </c>
      <c r="N31" s="16" t="str">
        <f t="shared" si="5"/>
        <v>Normal</v>
      </c>
      <c r="O31" s="16" t="str">
        <f t="shared" si="0"/>
        <v>February</v>
      </c>
    </row>
    <row r="32" spans="1:15" x14ac:dyDescent="0.3">
      <c r="A32" s="14" t="s">
        <v>54</v>
      </c>
      <c r="B32" s="14" t="s">
        <v>19</v>
      </c>
      <c r="C32" s="14">
        <v>58</v>
      </c>
      <c r="D32" s="14" t="s">
        <v>26</v>
      </c>
      <c r="E32" s="14" t="s">
        <v>20</v>
      </c>
      <c r="F32" s="14">
        <v>5</v>
      </c>
      <c r="G32" s="14">
        <v>1230</v>
      </c>
      <c r="H32" s="14">
        <v>6150</v>
      </c>
      <c r="I32" s="15">
        <v>45358</v>
      </c>
      <c r="J32" s="14" t="s">
        <v>17</v>
      </c>
      <c r="K32" s="16">
        <f t="shared" si="2"/>
        <v>6150</v>
      </c>
      <c r="L32" s="16" t="str">
        <f t="shared" si="3"/>
        <v>Correct</v>
      </c>
      <c r="M32" s="16" t="str">
        <f t="shared" si="4"/>
        <v>Senior</v>
      </c>
      <c r="N32" s="16" t="str">
        <f t="shared" si="5"/>
        <v>Normal</v>
      </c>
      <c r="O32" s="16" t="str">
        <f t="shared" si="0"/>
        <v>March</v>
      </c>
    </row>
    <row r="33" spans="1:15" x14ac:dyDescent="0.3">
      <c r="A33" s="14" t="s">
        <v>55</v>
      </c>
      <c r="B33" s="14" t="s">
        <v>11</v>
      </c>
      <c r="C33" s="14">
        <v>37</v>
      </c>
      <c r="D33" s="14" t="s">
        <v>26</v>
      </c>
      <c r="E33" s="14" t="s">
        <v>23</v>
      </c>
      <c r="F33" s="14">
        <v>4</v>
      </c>
      <c r="G33" s="14">
        <v>2839</v>
      </c>
      <c r="H33" s="14">
        <v>11356</v>
      </c>
      <c r="I33" s="15">
        <v>45389</v>
      </c>
      <c r="J33" s="14" t="s">
        <v>17</v>
      </c>
      <c r="K33" s="16">
        <f t="shared" si="2"/>
        <v>11356</v>
      </c>
      <c r="L33" s="16" t="str">
        <f t="shared" si="3"/>
        <v>Correct</v>
      </c>
      <c r="M33" s="16" t="str">
        <f t="shared" si="4"/>
        <v>Adult</v>
      </c>
      <c r="N33" s="16" t="str">
        <f t="shared" si="5"/>
        <v>High Value</v>
      </c>
      <c r="O33" s="16" t="str">
        <f t="shared" si="0"/>
        <v>April</v>
      </c>
    </row>
    <row r="34" spans="1:15" x14ac:dyDescent="0.3">
      <c r="A34" s="14" t="s">
        <v>56</v>
      </c>
      <c r="B34" s="14" t="s">
        <v>11</v>
      </c>
      <c r="C34" s="14">
        <v>42</v>
      </c>
      <c r="D34" s="14" t="s">
        <v>16</v>
      </c>
      <c r="E34" s="14" t="s">
        <v>20</v>
      </c>
      <c r="F34" s="14">
        <v>4</v>
      </c>
      <c r="G34" s="14">
        <v>2887</v>
      </c>
      <c r="H34" s="14">
        <v>11548</v>
      </c>
      <c r="I34" s="15">
        <v>45457</v>
      </c>
      <c r="J34" s="14" t="s">
        <v>21</v>
      </c>
      <c r="K34" s="16">
        <f t="shared" si="2"/>
        <v>11548</v>
      </c>
      <c r="L34" s="16" t="str">
        <f t="shared" si="3"/>
        <v>Correct</v>
      </c>
      <c r="M34" s="16" t="str">
        <f t="shared" si="4"/>
        <v>Senior</v>
      </c>
      <c r="N34" s="16" t="str">
        <f t="shared" si="5"/>
        <v>High Value</v>
      </c>
      <c r="O34" s="16" t="str">
        <f t="shared" ref="O34:O65" si="6">TEXT(I34,"mmmm")</f>
        <v>June</v>
      </c>
    </row>
    <row r="35" spans="1:15" x14ac:dyDescent="0.3">
      <c r="A35" s="14" t="s">
        <v>57</v>
      </c>
      <c r="B35" s="14" t="s">
        <v>19</v>
      </c>
      <c r="C35" s="14">
        <v>28</v>
      </c>
      <c r="D35" s="14" t="s">
        <v>16</v>
      </c>
      <c r="E35" s="14" t="s">
        <v>31</v>
      </c>
      <c r="F35" s="14">
        <v>2</v>
      </c>
      <c r="G35" s="14">
        <v>3779</v>
      </c>
      <c r="H35" s="14">
        <v>7558</v>
      </c>
      <c r="I35" s="15">
        <v>45373</v>
      </c>
      <c r="J35" s="14" t="s">
        <v>24</v>
      </c>
      <c r="K35" s="16">
        <f t="shared" si="2"/>
        <v>7558</v>
      </c>
      <c r="L35" s="16" t="str">
        <f t="shared" si="3"/>
        <v>Correct</v>
      </c>
      <c r="M35" s="16" t="str">
        <f t="shared" si="4"/>
        <v>Adult</v>
      </c>
      <c r="N35" s="16" t="str">
        <f t="shared" si="5"/>
        <v>Normal</v>
      </c>
      <c r="O35" s="16" t="str">
        <f t="shared" si="6"/>
        <v>March</v>
      </c>
    </row>
    <row r="36" spans="1:15" x14ac:dyDescent="0.3">
      <c r="A36" s="14" t="s">
        <v>58</v>
      </c>
      <c r="B36" s="14" t="s">
        <v>19</v>
      </c>
      <c r="C36" s="14">
        <v>57</v>
      </c>
      <c r="D36" s="14" t="s">
        <v>12</v>
      </c>
      <c r="E36" s="14" t="s">
        <v>13</v>
      </c>
      <c r="F36" s="14">
        <v>4</v>
      </c>
      <c r="G36" s="14">
        <v>3974</v>
      </c>
      <c r="H36" s="14">
        <v>15896</v>
      </c>
      <c r="I36" s="15">
        <v>45369</v>
      </c>
      <c r="J36" s="14" t="s">
        <v>24</v>
      </c>
      <c r="K36" s="16">
        <f t="shared" si="2"/>
        <v>15896</v>
      </c>
      <c r="L36" s="16" t="str">
        <f t="shared" si="3"/>
        <v>Correct</v>
      </c>
      <c r="M36" s="16" t="str">
        <f t="shared" si="4"/>
        <v>Senior</v>
      </c>
      <c r="N36" s="16" t="str">
        <f t="shared" si="5"/>
        <v>High Value</v>
      </c>
      <c r="O36" s="16" t="str">
        <f t="shared" si="6"/>
        <v>March</v>
      </c>
    </row>
    <row r="37" spans="1:15" x14ac:dyDescent="0.3">
      <c r="A37" s="14" t="s">
        <v>59</v>
      </c>
      <c r="B37" s="14" t="s">
        <v>11</v>
      </c>
      <c r="C37" s="14">
        <v>34</v>
      </c>
      <c r="D37" s="14" t="s">
        <v>12</v>
      </c>
      <c r="E37" s="14" t="s">
        <v>13</v>
      </c>
      <c r="F37" s="14">
        <v>3</v>
      </c>
      <c r="G37" s="14">
        <v>2662</v>
      </c>
      <c r="H37" s="14">
        <v>7986</v>
      </c>
      <c r="I37" s="15">
        <v>45367</v>
      </c>
      <c r="J37" s="14" t="s">
        <v>17</v>
      </c>
      <c r="K37" s="16">
        <f t="shared" si="2"/>
        <v>7986</v>
      </c>
      <c r="L37" s="16" t="str">
        <f t="shared" si="3"/>
        <v>Correct</v>
      </c>
      <c r="M37" s="16" t="str">
        <f t="shared" si="4"/>
        <v>Adult</v>
      </c>
      <c r="N37" s="16" t="str">
        <f t="shared" si="5"/>
        <v>Normal</v>
      </c>
      <c r="O37" s="16" t="str">
        <f t="shared" si="6"/>
        <v>March</v>
      </c>
    </row>
    <row r="38" spans="1:15" x14ac:dyDescent="0.3">
      <c r="A38" s="14" t="s">
        <v>60</v>
      </c>
      <c r="B38" s="14" t="s">
        <v>19</v>
      </c>
      <c r="C38" s="14">
        <v>57</v>
      </c>
      <c r="D38" s="14" t="s">
        <v>26</v>
      </c>
      <c r="E38" s="14" t="s">
        <v>13</v>
      </c>
      <c r="F38" s="14">
        <v>2</v>
      </c>
      <c r="G38" s="14">
        <v>2699</v>
      </c>
      <c r="H38" s="14">
        <v>5398</v>
      </c>
      <c r="I38" s="15">
        <v>45549</v>
      </c>
      <c r="J38" s="14" t="s">
        <v>21</v>
      </c>
      <c r="K38" s="16">
        <f t="shared" si="2"/>
        <v>5398</v>
      </c>
      <c r="L38" s="16" t="str">
        <f t="shared" si="3"/>
        <v>Correct</v>
      </c>
      <c r="M38" s="16" t="str">
        <f t="shared" si="4"/>
        <v>Senior</v>
      </c>
      <c r="N38" s="16" t="str">
        <f t="shared" si="5"/>
        <v>Normal</v>
      </c>
      <c r="O38" s="16" t="str">
        <f t="shared" si="6"/>
        <v>September</v>
      </c>
    </row>
    <row r="39" spans="1:15" x14ac:dyDescent="0.3">
      <c r="A39" s="14" t="s">
        <v>61</v>
      </c>
      <c r="B39" s="14" t="s">
        <v>19</v>
      </c>
      <c r="C39" s="14">
        <v>43</v>
      </c>
      <c r="D39" s="14" t="s">
        <v>16</v>
      </c>
      <c r="E39" s="14" t="s">
        <v>20</v>
      </c>
      <c r="F39" s="14">
        <v>4</v>
      </c>
      <c r="G39" s="14">
        <v>4092</v>
      </c>
      <c r="H39" s="14">
        <v>16368</v>
      </c>
      <c r="I39" s="15">
        <v>45548</v>
      </c>
      <c r="J39" s="14" t="s">
        <v>24</v>
      </c>
      <c r="K39" s="16">
        <f t="shared" si="2"/>
        <v>16368</v>
      </c>
      <c r="L39" s="16" t="str">
        <f t="shared" si="3"/>
        <v>Correct</v>
      </c>
      <c r="M39" s="16" t="str">
        <f t="shared" si="4"/>
        <v>Senior</v>
      </c>
      <c r="N39" s="16" t="str">
        <f t="shared" si="5"/>
        <v>High Value</v>
      </c>
      <c r="O39" s="16" t="str">
        <f t="shared" si="6"/>
        <v>September</v>
      </c>
    </row>
    <row r="40" spans="1:15" x14ac:dyDescent="0.3">
      <c r="A40" s="14" t="s">
        <v>62</v>
      </c>
      <c r="B40" s="14" t="s">
        <v>11</v>
      </c>
      <c r="C40" s="14">
        <v>29</v>
      </c>
      <c r="D40" s="14" t="s">
        <v>26</v>
      </c>
      <c r="E40" s="14" t="s">
        <v>31</v>
      </c>
      <c r="F40" s="14">
        <v>4</v>
      </c>
      <c r="G40" s="14">
        <v>1014</v>
      </c>
      <c r="H40" s="14">
        <v>4056</v>
      </c>
      <c r="I40" s="15">
        <v>45560</v>
      </c>
      <c r="J40" s="14" t="s">
        <v>24</v>
      </c>
      <c r="K40" s="16">
        <f t="shared" si="2"/>
        <v>4056</v>
      </c>
      <c r="L40" s="16" t="str">
        <f t="shared" si="3"/>
        <v>Correct</v>
      </c>
      <c r="M40" s="16" t="str">
        <f t="shared" si="4"/>
        <v>Adult</v>
      </c>
      <c r="N40" s="16" t="str">
        <f t="shared" si="5"/>
        <v>Normal</v>
      </c>
      <c r="O40" s="16" t="str">
        <f t="shared" si="6"/>
        <v>September</v>
      </c>
    </row>
    <row r="41" spans="1:15" x14ac:dyDescent="0.3">
      <c r="A41" s="14" t="s">
        <v>63</v>
      </c>
      <c r="B41" s="14" t="s">
        <v>11</v>
      </c>
      <c r="C41" s="14">
        <v>22</v>
      </c>
      <c r="D41" s="14" t="s">
        <v>16</v>
      </c>
      <c r="E41" s="14" t="s">
        <v>13</v>
      </c>
      <c r="F41" s="14">
        <v>4</v>
      </c>
      <c r="G41" s="14">
        <v>1153</v>
      </c>
      <c r="H41" s="14">
        <v>4612</v>
      </c>
      <c r="I41" s="15">
        <v>45535</v>
      </c>
      <c r="J41" s="14" t="s">
        <v>21</v>
      </c>
      <c r="K41" s="16">
        <f t="shared" si="2"/>
        <v>4612</v>
      </c>
      <c r="L41" s="16" t="str">
        <f t="shared" si="3"/>
        <v>Correct</v>
      </c>
      <c r="M41" s="16" t="str">
        <f t="shared" si="4"/>
        <v>Adult</v>
      </c>
      <c r="N41" s="16" t="str">
        <f t="shared" si="5"/>
        <v>Normal</v>
      </c>
      <c r="O41" s="16" t="str">
        <f t="shared" si="6"/>
        <v>August</v>
      </c>
    </row>
    <row r="42" spans="1:15" x14ac:dyDescent="0.3">
      <c r="A42" s="14" t="s">
        <v>64</v>
      </c>
      <c r="B42" s="14" t="s">
        <v>19</v>
      </c>
      <c r="C42" s="14">
        <v>50</v>
      </c>
      <c r="D42" s="14" t="s">
        <v>26</v>
      </c>
      <c r="E42" s="14" t="s">
        <v>23</v>
      </c>
      <c r="F42" s="14">
        <v>4</v>
      </c>
      <c r="G42" s="14">
        <v>3627</v>
      </c>
      <c r="H42" s="14">
        <v>14508</v>
      </c>
      <c r="I42" s="15">
        <v>45463</v>
      </c>
      <c r="J42" s="14" t="s">
        <v>17</v>
      </c>
      <c r="K42" s="16">
        <f t="shared" si="2"/>
        <v>14508</v>
      </c>
      <c r="L42" s="16" t="str">
        <f t="shared" si="3"/>
        <v>Correct</v>
      </c>
      <c r="M42" s="16" t="str">
        <f t="shared" si="4"/>
        <v>Senior</v>
      </c>
      <c r="N42" s="16" t="str">
        <f t="shared" si="5"/>
        <v>High Value</v>
      </c>
      <c r="O42" s="16" t="str">
        <f t="shared" si="6"/>
        <v>June</v>
      </c>
    </row>
    <row r="43" spans="1:15" x14ac:dyDescent="0.3">
      <c r="A43" s="14" t="s">
        <v>65</v>
      </c>
      <c r="B43" s="14" t="s">
        <v>11</v>
      </c>
      <c r="C43" s="14">
        <v>34</v>
      </c>
      <c r="D43" s="14" t="s">
        <v>12</v>
      </c>
      <c r="E43" s="14" t="s">
        <v>20</v>
      </c>
      <c r="F43" s="14">
        <v>4</v>
      </c>
      <c r="G43" s="14">
        <v>2526</v>
      </c>
      <c r="H43" s="14">
        <v>10104</v>
      </c>
      <c r="I43" s="15">
        <v>45564</v>
      </c>
      <c r="J43" s="14" t="s">
        <v>21</v>
      </c>
      <c r="K43" s="16">
        <f t="shared" si="2"/>
        <v>10104</v>
      </c>
      <c r="L43" s="16" t="str">
        <f t="shared" si="3"/>
        <v>Correct</v>
      </c>
      <c r="M43" s="16" t="str">
        <f t="shared" si="4"/>
        <v>Adult</v>
      </c>
      <c r="N43" s="16" t="str">
        <f t="shared" si="5"/>
        <v>High Value</v>
      </c>
      <c r="O43" s="16" t="str">
        <f t="shared" si="6"/>
        <v>September</v>
      </c>
    </row>
    <row r="44" spans="1:15" x14ac:dyDescent="0.3">
      <c r="A44" s="14" t="s">
        <v>66</v>
      </c>
      <c r="B44" s="14" t="s">
        <v>11</v>
      </c>
      <c r="C44" s="14">
        <v>53</v>
      </c>
      <c r="D44" s="14" t="s">
        <v>28</v>
      </c>
      <c r="E44" s="14" t="s">
        <v>20</v>
      </c>
      <c r="F44" s="14">
        <v>5</v>
      </c>
      <c r="G44" s="14">
        <v>4649</v>
      </c>
      <c r="H44" s="14">
        <v>23245</v>
      </c>
      <c r="I44" s="15">
        <v>45524</v>
      </c>
      <c r="J44" s="14" t="s">
        <v>24</v>
      </c>
      <c r="K44" s="16">
        <f t="shared" si="2"/>
        <v>23245</v>
      </c>
      <c r="L44" s="16" t="str">
        <f t="shared" si="3"/>
        <v>Correct</v>
      </c>
      <c r="M44" s="16" t="str">
        <f t="shared" si="4"/>
        <v>Senior</v>
      </c>
      <c r="N44" s="16" t="str">
        <f t="shared" si="5"/>
        <v>High Value</v>
      </c>
      <c r="O44" s="16" t="str">
        <f t="shared" si="6"/>
        <v>August</v>
      </c>
    </row>
    <row r="45" spans="1:15" x14ac:dyDescent="0.3">
      <c r="A45" s="14" t="s">
        <v>67</v>
      </c>
      <c r="B45" s="14" t="s">
        <v>19</v>
      </c>
      <c r="C45" s="14">
        <v>36</v>
      </c>
      <c r="D45" s="14" t="s">
        <v>26</v>
      </c>
      <c r="E45" s="14" t="s">
        <v>20</v>
      </c>
      <c r="F45" s="14">
        <v>2</v>
      </c>
      <c r="G45" s="14">
        <v>1111</v>
      </c>
      <c r="H45" s="14">
        <v>2222</v>
      </c>
      <c r="I45" s="15">
        <v>45592</v>
      </c>
      <c r="J45" s="14" t="s">
        <v>14</v>
      </c>
      <c r="K45" s="16">
        <f t="shared" si="2"/>
        <v>2222</v>
      </c>
      <c r="L45" s="16" t="str">
        <f t="shared" si="3"/>
        <v>Correct</v>
      </c>
      <c r="M45" s="16" t="str">
        <f t="shared" si="4"/>
        <v>Adult</v>
      </c>
      <c r="N45" s="16" t="str">
        <f t="shared" si="5"/>
        <v>Normal</v>
      </c>
      <c r="O45" s="16" t="str">
        <f t="shared" si="6"/>
        <v>October</v>
      </c>
    </row>
    <row r="46" spans="1:15" x14ac:dyDescent="0.3">
      <c r="A46" s="14" t="s">
        <v>68</v>
      </c>
      <c r="B46" s="14" t="s">
        <v>19</v>
      </c>
      <c r="C46" s="14">
        <v>54</v>
      </c>
      <c r="D46" s="14" t="s">
        <v>26</v>
      </c>
      <c r="E46" s="14" t="s">
        <v>13</v>
      </c>
      <c r="F46" s="14">
        <v>2</v>
      </c>
      <c r="G46" s="14">
        <v>4030</v>
      </c>
      <c r="H46" s="14">
        <v>8060</v>
      </c>
      <c r="I46" s="15">
        <v>45460</v>
      </c>
      <c r="J46" s="14" t="s">
        <v>14</v>
      </c>
      <c r="K46" s="16">
        <f t="shared" si="2"/>
        <v>8060</v>
      </c>
      <c r="L46" s="16" t="str">
        <f t="shared" si="3"/>
        <v>Correct</v>
      </c>
      <c r="M46" s="16" t="str">
        <f t="shared" si="4"/>
        <v>Senior</v>
      </c>
      <c r="N46" s="16" t="str">
        <f t="shared" si="5"/>
        <v>Normal</v>
      </c>
      <c r="O46" s="16" t="str">
        <f t="shared" si="6"/>
        <v>June</v>
      </c>
    </row>
    <row r="47" spans="1:15" x14ac:dyDescent="0.3">
      <c r="A47" s="14" t="s">
        <v>69</v>
      </c>
      <c r="B47" s="14" t="s">
        <v>11</v>
      </c>
      <c r="C47" s="14">
        <v>29</v>
      </c>
      <c r="D47" s="14" t="s">
        <v>26</v>
      </c>
      <c r="E47" s="14" t="s">
        <v>31</v>
      </c>
      <c r="F47" s="14">
        <v>3</v>
      </c>
      <c r="G47" s="14">
        <v>3884</v>
      </c>
      <c r="H47" s="14">
        <v>11652</v>
      </c>
      <c r="I47" s="15">
        <v>45596</v>
      </c>
      <c r="J47" s="14" t="s">
        <v>24</v>
      </c>
      <c r="K47" s="16">
        <f t="shared" si="2"/>
        <v>11652</v>
      </c>
      <c r="L47" s="16" t="str">
        <f t="shared" si="3"/>
        <v>Correct</v>
      </c>
      <c r="M47" s="16" t="str">
        <f t="shared" si="4"/>
        <v>Adult</v>
      </c>
      <c r="N47" s="16" t="str">
        <f t="shared" si="5"/>
        <v>High Value</v>
      </c>
      <c r="O47" s="16" t="str">
        <f t="shared" si="6"/>
        <v>October</v>
      </c>
    </row>
    <row r="48" spans="1:15" x14ac:dyDescent="0.3">
      <c r="A48" s="14" t="s">
        <v>70</v>
      </c>
      <c r="B48" s="14" t="s">
        <v>11</v>
      </c>
      <c r="C48" s="14">
        <v>20</v>
      </c>
      <c r="D48" s="14" t="s">
        <v>26</v>
      </c>
      <c r="E48" s="14" t="s">
        <v>20</v>
      </c>
      <c r="F48" s="14">
        <v>5</v>
      </c>
      <c r="G48" s="14">
        <v>736</v>
      </c>
      <c r="H48" s="14">
        <v>3680</v>
      </c>
      <c r="I48" s="15">
        <v>45386</v>
      </c>
      <c r="J48" s="14" t="s">
        <v>17</v>
      </c>
      <c r="K48" s="16">
        <f t="shared" si="2"/>
        <v>3680</v>
      </c>
      <c r="L48" s="16" t="str">
        <f t="shared" si="3"/>
        <v>Correct</v>
      </c>
      <c r="M48" s="16" t="str">
        <f t="shared" si="4"/>
        <v>Adult</v>
      </c>
      <c r="N48" s="16" t="str">
        <f t="shared" si="5"/>
        <v>Normal</v>
      </c>
      <c r="O48" s="16" t="str">
        <f t="shared" si="6"/>
        <v>April</v>
      </c>
    </row>
    <row r="49" spans="1:15" x14ac:dyDescent="0.3">
      <c r="A49" s="14" t="s">
        <v>71</v>
      </c>
      <c r="B49" s="14" t="s">
        <v>19</v>
      </c>
      <c r="C49" s="14">
        <v>30</v>
      </c>
      <c r="D49" s="14" t="s">
        <v>12</v>
      </c>
      <c r="E49" s="14" t="s">
        <v>31</v>
      </c>
      <c r="F49" s="14">
        <v>2</v>
      </c>
      <c r="G49" s="14">
        <v>3105</v>
      </c>
      <c r="H49" s="14">
        <v>6210</v>
      </c>
      <c r="I49" s="15">
        <v>45650</v>
      </c>
      <c r="J49" s="14" t="s">
        <v>21</v>
      </c>
      <c r="K49" s="16">
        <f t="shared" si="2"/>
        <v>6210</v>
      </c>
      <c r="L49" s="16" t="str">
        <f t="shared" si="3"/>
        <v>Correct</v>
      </c>
      <c r="M49" s="16" t="str">
        <f t="shared" si="4"/>
        <v>Adult</v>
      </c>
      <c r="N49" s="16" t="str">
        <f t="shared" si="5"/>
        <v>Normal</v>
      </c>
      <c r="O49" s="16" t="str">
        <f t="shared" si="6"/>
        <v>December</v>
      </c>
    </row>
    <row r="50" spans="1:15" x14ac:dyDescent="0.3">
      <c r="A50" s="14" t="s">
        <v>72</v>
      </c>
      <c r="B50" s="14" t="s">
        <v>19</v>
      </c>
      <c r="C50" s="14">
        <v>21</v>
      </c>
      <c r="D50" s="14" t="s">
        <v>12</v>
      </c>
      <c r="E50" s="14" t="s">
        <v>13</v>
      </c>
      <c r="F50" s="14">
        <v>2</v>
      </c>
      <c r="G50" s="14">
        <v>4720</v>
      </c>
      <c r="H50" s="14">
        <v>9440</v>
      </c>
      <c r="I50" s="15">
        <v>45570</v>
      </c>
      <c r="J50" s="14" t="s">
        <v>24</v>
      </c>
      <c r="K50" s="16">
        <f t="shared" si="2"/>
        <v>9440</v>
      </c>
      <c r="L50" s="16" t="str">
        <f t="shared" si="3"/>
        <v>Correct</v>
      </c>
      <c r="M50" s="16" t="str">
        <f t="shared" si="4"/>
        <v>Adult</v>
      </c>
      <c r="N50" s="16" t="str">
        <f t="shared" si="5"/>
        <v>Normal</v>
      </c>
      <c r="O50" s="16" t="str">
        <f t="shared" si="6"/>
        <v>October</v>
      </c>
    </row>
    <row r="51" spans="1:15" x14ac:dyDescent="0.3">
      <c r="A51" s="14" t="s">
        <v>73</v>
      </c>
      <c r="B51" s="14" t="s">
        <v>11</v>
      </c>
      <c r="C51" s="14">
        <v>37</v>
      </c>
      <c r="D51" s="14" t="s">
        <v>12</v>
      </c>
      <c r="E51" s="14" t="s">
        <v>31</v>
      </c>
      <c r="F51" s="14">
        <v>2</v>
      </c>
      <c r="G51" s="14">
        <v>4173</v>
      </c>
      <c r="H51" s="14">
        <v>8346</v>
      </c>
      <c r="I51" s="15">
        <v>45372</v>
      </c>
      <c r="J51" s="14" t="s">
        <v>24</v>
      </c>
      <c r="K51" s="16">
        <f t="shared" si="2"/>
        <v>8346</v>
      </c>
      <c r="L51" s="16" t="str">
        <f t="shared" si="3"/>
        <v>Correct</v>
      </c>
      <c r="M51" s="16" t="str">
        <f t="shared" si="4"/>
        <v>Adult</v>
      </c>
      <c r="N51" s="16" t="str">
        <f t="shared" si="5"/>
        <v>Normal</v>
      </c>
      <c r="O51" s="16" t="str">
        <f t="shared" si="6"/>
        <v>March</v>
      </c>
    </row>
    <row r="52" spans="1:15" x14ac:dyDescent="0.3">
      <c r="A52" s="14" t="s">
        <v>74</v>
      </c>
      <c r="B52" s="14" t="s">
        <v>11</v>
      </c>
      <c r="C52" s="14">
        <v>47</v>
      </c>
      <c r="D52" s="14" t="s">
        <v>16</v>
      </c>
      <c r="E52" s="14" t="s">
        <v>13</v>
      </c>
      <c r="F52" s="14">
        <v>1</v>
      </c>
      <c r="G52" s="14">
        <v>1405</v>
      </c>
      <c r="H52" s="14">
        <v>1405</v>
      </c>
      <c r="I52" s="15">
        <v>45513</v>
      </c>
      <c r="J52" s="14" t="s">
        <v>17</v>
      </c>
      <c r="K52" s="16">
        <f t="shared" si="2"/>
        <v>1405</v>
      </c>
      <c r="L52" s="16" t="str">
        <f t="shared" si="3"/>
        <v>Correct</v>
      </c>
      <c r="M52" s="16" t="str">
        <f t="shared" si="4"/>
        <v>Senior</v>
      </c>
      <c r="N52" s="16" t="str">
        <f t="shared" si="5"/>
        <v>Normal</v>
      </c>
      <c r="O52" s="16" t="str">
        <f t="shared" si="6"/>
        <v>August</v>
      </c>
    </row>
    <row r="53" spans="1:15" x14ac:dyDescent="0.3">
      <c r="A53" s="14" t="s">
        <v>75</v>
      </c>
      <c r="B53" s="14" t="s">
        <v>11</v>
      </c>
      <c r="C53" s="14">
        <v>46</v>
      </c>
      <c r="D53" s="14" t="s">
        <v>12</v>
      </c>
      <c r="E53" s="14" t="s">
        <v>13</v>
      </c>
      <c r="F53" s="14">
        <v>4</v>
      </c>
      <c r="G53" s="14">
        <v>4891</v>
      </c>
      <c r="H53" s="14">
        <v>19564</v>
      </c>
      <c r="I53" s="15">
        <v>45473</v>
      </c>
      <c r="J53" s="14" t="s">
        <v>24</v>
      </c>
      <c r="K53" s="16">
        <f t="shared" si="2"/>
        <v>19564</v>
      </c>
      <c r="L53" s="16" t="str">
        <f t="shared" si="3"/>
        <v>Correct</v>
      </c>
      <c r="M53" s="16" t="str">
        <f t="shared" si="4"/>
        <v>Senior</v>
      </c>
      <c r="N53" s="16" t="str">
        <f t="shared" si="5"/>
        <v>High Value</v>
      </c>
      <c r="O53" s="16" t="str">
        <f t="shared" si="6"/>
        <v>June</v>
      </c>
    </row>
    <row r="54" spans="1:15" x14ac:dyDescent="0.3">
      <c r="A54" s="14" t="s">
        <v>76</v>
      </c>
      <c r="B54" s="14" t="s">
        <v>19</v>
      </c>
      <c r="C54" s="14">
        <v>60</v>
      </c>
      <c r="D54" s="14" t="s">
        <v>28</v>
      </c>
      <c r="E54" s="14" t="s">
        <v>23</v>
      </c>
      <c r="F54" s="14">
        <v>4</v>
      </c>
      <c r="G54" s="14">
        <v>618</v>
      </c>
      <c r="H54" s="14">
        <v>2472</v>
      </c>
      <c r="I54" s="15">
        <v>45311</v>
      </c>
      <c r="J54" s="14" t="s">
        <v>21</v>
      </c>
      <c r="K54" s="16">
        <f t="shared" si="2"/>
        <v>2472</v>
      </c>
      <c r="L54" s="16" t="str">
        <f t="shared" si="3"/>
        <v>Correct</v>
      </c>
      <c r="M54" s="16" t="str">
        <f t="shared" si="4"/>
        <v>Senior</v>
      </c>
      <c r="N54" s="16" t="str">
        <f t="shared" si="5"/>
        <v>Normal</v>
      </c>
      <c r="O54" s="16" t="str">
        <f t="shared" si="6"/>
        <v>January</v>
      </c>
    </row>
    <row r="55" spans="1:15" x14ac:dyDescent="0.3">
      <c r="A55" s="14" t="s">
        <v>77</v>
      </c>
      <c r="B55" s="14" t="s">
        <v>11</v>
      </c>
      <c r="C55" s="14">
        <v>29</v>
      </c>
      <c r="D55" s="14" t="s">
        <v>26</v>
      </c>
      <c r="E55" s="14" t="s">
        <v>31</v>
      </c>
      <c r="F55" s="14">
        <v>5</v>
      </c>
      <c r="G55" s="14">
        <v>3067</v>
      </c>
      <c r="H55" s="14">
        <v>15335</v>
      </c>
      <c r="I55" s="15">
        <v>45391</v>
      </c>
      <c r="J55" s="14" t="s">
        <v>21</v>
      </c>
      <c r="K55" s="16">
        <f t="shared" si="2"/>
        <v>15335</v>
      </c>
      <c r="L55" s="16" t="str">
        <f t="shared" si="3"/>
        <v>Correct</v>
      </c>
      <c r="M55" s="16" t="str">
        <f t="shared" si="4"/>
        <v>Adult</v>
      </c>
      <c r="N55" s="16" t="str">
        <f t="shared" si="5"/>
        <v>High Value</v>
      </c>
      <c r="O55" s="16" t="str">
        <f t="shared" si="6"/>
        <v>April</v>
      </c>
    </row>
    <row r="56" spans="1:15" x14ac:dyDescent="0.3">
      <c r="A56" s="14" t="s">
        <v>78</v>
      </c>
      <c r="B56" s="14" t="s">
        <v>11</v>
      </c>
      <c r="C56" s="14">
        <v>53</v>
      </c>
      <c r="D56" s="14" t="s">
        <v>16</v>
      </c>
      <c r="E56" s="14" t="s">
        <v>31</v>
      </c>
      <c r="F56" s="14">
        <v>1</v>
      </c>
      <c r="G56" s="14">
        <v>1038</v>
      </c>
      <c r="H56" s="14">
        <v>1038</v>
      </c>
      <c r="I56" s="15">
        <v>45380</v>
      </c>
      <c r="J56" s="14" t="s">
        <v>17</v>
      </c>
      <c r="K56" s="16">
        <f t="shared" si="2"/>
        <v>1038</v>
      </c>
      <c r="L56" s="16" t="str">
        <f t="shared" si="3"/>
        <v>Correct</v>
      </c>
      <c r="M56" s="16" t="str">
        <f t="shared" si="4"/>
        <v>Senior</v>
      </c>
      <c r="N56" s="16" t="str">
        <f t="shared" si="5"/>
        <v>Normal</v>
      </c>
      <c r="O56" s="16" t="str">
        <f t="shared" si="6"/>
        <v>March</v>
      </c>
    </row>
    <row r="57" spans="1:15" x14ac:dyDescent="0.3">
      <c r="A57" s="14" t="s">
        <v>79</v>
      </c>
      <c r="B57" s="14" t="s">
        <v>11</v>
      </c>
      <c r="C57" s="14">
        <v>18</v>
      </c>
      <c r="D57" s="14" t="s">
        <v>28</v>
      </c>
      <c r="E57" s="14" t="s">
        <v>31</v>
      </c>
      <c r="F57" s="14">
        <v>2</v>
      </c>
      <c r="G57" s="14">
        <v>2984</v>
      </c>
      <c r="H57" s="14">
        <v>5968</v>
      </c>
      <c r="I57" s="15">
        <v>45604</v>
      </c>
      <c r="J57" s="14" t="s">
        <v>21</v>
      </c>
      <c r="K57" s="16">
        <f t="shared" si="2"/>
        <v>5968</v>
      </c>
      <c r="L57" s="16" t="str">
        <f t="shared" si="3"/>
        <v>Correct</v>
      </c>
      <c r="M57" s="16" t="str">
        <f t="shared" si="4"/>
        <v>Teen</v>
      </c>
      <c r="N57" s="16" t="str">
        <f t="shared" si="5"/>
        <v>Normal</v>
      </c>
      <c r="O57" s="16" t="str">
        <f t="shared" si="6"/>
        <v>November</v>
      </c>
    </row>
    <row r="58" spans="1:15" x14ac:dyDescent="0.3">
      <c r="A58" s="14" t="s">
        <v>80</v>
      </c>
      <c r="B58" s="14" t="s">
        <v>11</v>
      </c>
      <c r="C58" s="14">
        <v>54</v>
      </c>
      <c r="D58" s="14" t="s">
        <v>16</v>
      </c>
      <c r="E58" s="14" t="s">
        <v>23</v>
      </c>
      <c r="F58" s="14">
        <v>4</v>
      </c>
      <c r="G58" s="14">
        <v>3103</v>
      </c>
      <c r="H58" s="14">
        <v>12412</v>
      </c>
      <c r="I58" s="15">
        <v>45620</v>
      </c>
      <c r="J58" s="14" t="s">
        <v>21</v>
      </c>
      <c r="K58" s="16">
        <f t="shared" si="2"/>
        <v>12412</v>
      </c>
      <c r="L58" s="16" t="str">
        <f t="shared" si="3"/>
        <v>Correct</v>
      </c>
      <c r="M58" s="16" t="str">
        <f t="shared" si="4"/>
        <v>Senior</v>
      </c>
      <c r="N58" s="16" t="str">
        <f t="shared" si="5"/>
        <v>High Value</v>
      </c>
      <c r="O58" s="16" t="str">
        <f t="shared" si="6"/>
        <v>November</v>
      </c>
    </row>
    <row r="59" spans="1:15" x14ac:dyDescent="0.3">
      <c r="A59" s="14" t="s">
        <v>81</v>
      </c>
      <c r="B59" s="14" t="s">
        <v>11</v>
      </c>
      <c r="C59" s="14">
        <v>56</v>
      </c>
      <c r="D59" s="14" t="s">
        <v>26</v>
      </c>
      <c r="E59" s="14" t="s">
        <v>23</v>
      </c>
      <c r="F59" s="14">
        <v>5</v>
      </c>
      <c r="G59" s="14">
        <v>2138</v>
      </c>
      <c r="H59" s="14">
        <v>10690</v>
      </c>
      <c r="I59" s="15">
        <v>45614</v>
      </c>
      <c r="J59" s="14" t="s">
        <v>21</v>
      </c>
      <c r="K59" s="16">
        <f t="shared" si="2"/>
        <v>10690</v>
      </c>
      <c r="L59" s="16" t="str">
        <f t="shared" si="3"/>
        <v>Correct</v>
      </c>
      <c r="M59" s="16" t="str">
        <f t="shared" si="4"/>
        <v>Senior</v>
      </c>
      <c r="N59" s="16" t="str">
        <f t="shared" si="5"/>
        <v>High Value</v>
      </c>
      <c r="O59" s="16" t="str">
        <f t="shared" si="6"/>
        <v>November</v>
      </c>
    </row>
    <row r="60" spans="1:15" x14ac:dyDescent="0.3">
      <c r="A60" s="14" t="s">
        <v>82</v>
      </c>
      <c r="B60" s="14" t="s">
        <v>11</v>
      </c>
      <c r="C60" s="14">
        <v>53</v>
      </c>
      <c r="D60" s="14" t="s">
        <v>28</v>
      </c>
      <c r="E60" s="14" t="s">
        <v>20</v>
      </c>
      <c r="F60" s="14">
        <v>3</v>
      </c>
      <c r="G60" s="14">
        <v>3059</v>
      </c>
      <c r="H60" s="14">
        <v>9177</v>
      </c>
      <c r="I60" s="15">
        <v>45458</v>
      </c>
      <c r="J60" s="14" t="s">
        <v>24</v>
      </c>
      <c r="K60" s="16">
        <f t="shared" si="2"/>
        <v>9177</v>
      </c>
      <c r="L60" s="16" t="str">
        <f t="shared" si="3"/>
        <v>Correct</v>
      </c>
      <c r="M60" s="16" t="str">
        <f t="shared" si="4"/>
        <v>Senior</v>
      </c>
      <c r="N60" s="16" t="str">
        <f t="shared" si="5"/>
        <v>Normal</v>
      </c>
      <c r="O60" s="16" t="str">
        <f t="shared" si="6"/>
        <v>June</v>
      </c>
    </row>
    <row r="61" spans="1:15" x14ac:dyDescent="0.3">
      <c r="A61" s="14" t="s">
        <v>83</v>
      </c>
      <c r="B61" s="14" t="s">
        <v>11</v>
      </c>
      <c r="C61" s="14">
        <v>36</v>
      </c>
      <c r="D61" s="14" t="s">
        <v>26</v>
      </c>
      <c r="E61" s="14" t="s">
        <v>20</v>
      </c>
      <c r="F61" s="14">
        <v>3</v>
      </c>
      <c r="G61" s="14">
        <v>584</v>
      </c>
      <c r="H61" s="14">
        <v>1752</v>
      </c>
      <c r="I61" s="15">
        <v>45421</v>
      </c>
      <c r="J61" s="14" t="s">
        <v>21</v>
      </c>
      <c r="K61" s="16">
        <f t="shared" si="2"/>
        <v>1752</v>
      </c>
      <c r="L61" s="16" t="str">
        <f t="shared" si="3"/>
        <v>Correct</v>
      </c>
      <c r="M61" s="16" t="str">
        <f t="shared" si="4"/>
        <v>Adult</v>
      </c>
      <c r="N61" s="16" t="str">
        <f t="shared" si="5"/>
        <v>Normal</v>
      </c>
      <c r="O61" s="16" t="str">
        <f t="shared" si="6"/>
        <v>May</v>
      </c>
    </row>
    <row r="62" spans="1:15" x14ac:dyDescent="0.3">
      <c r="A62" s="14" t="s">
        <v>84</v>
      </c>
      <c r="B62" s="14" t="s">
        <v>19</v>
      </c>
      <c r="C62" s="14">
        <v>26</v>
      </c>
      <c r="D62" s="14" t="s">
        <v>26</v>
      </c>
      <c r="E62" s="14" t="s">
        <v>31</v>
      </c>
      <c r="F62" s="14">
        <v>2</v>
      </c>
      <c r="G62" s="14">
        <v>2987</v>
      </c>
      <c r="H62" s="14">
        <v>5974</v>
      </c>
      <c r="I62" s="15">
        <v>45588</v>
      </c>
      <c r="J62" s="14" t="s">
        <v>24</v>
      </c>
      <c r="K62" s="16">
        <f t="shared" si="2"/>
        <v>5974</v>
      </c>
      <c r="L62" s="16" t="str">
        <f t="shared" si="3"/>
        <v>Correct</v>
      </c>
      <c r="M62" s="16" t="str">
        <f t="shared" si="4"/>
        <v>Adult</v>
      </c>
      <c r="N62" s="16" t="str">
        <f t="shared" si="5"/>
        <v>Normal</v>
      </c>
      <c r="O62" s="16" t="str">
        <f t="shared" si="6"/>
        <v>October</v>
      </c>
    </row>
    <row r="63" spans="1:15" x14ac:dyDescent="0.3">
      <c r="A63" s="14" t="s">
        <v>85</v>
      </c>
      <c r="B63" s="14" t="s">
        <v>19</v>
      </c>
      <c r="C63" s="14">
        <v>49</v>
      </c>
      <c r="D63" s="14" t="s">
        <v>12</v>
      </c>
      <c r="E63" s="14" t="s">
        <v>13</v>
      </c>
      <c r="F63" s="14">
        <v>4</v>
      </c>
      <c r="G63" s="14">
        <v>3880</v>
      </c>
      <c r="H63" s="14">
        <v>15520</v>
      </c>
      <c r="I63" s="15">
        <v>45301</v>
      </c>
      <c r="J63" s="14" t="s">
        <v>17</v>
      </c>
      <c r="K63" s="16">
        <f t="shared" si="2"/>
        <v>15520</v>
      </c>
      <c r="L63" s="16" t="str">
        <f t="shared" si="3"/>
        <v>Correct</v>
      </c>
      <c r="M63" s="16" t="str">
        <f t="shared" si="4"/>
        <v>Senior</v>
      </c>
      <c r="N63" s="16" t="str">
        <f t="shared" si="5"/>
        <v>High Value</v>
      </c>
      <c r="O63" s="16" t="str">
        <f t="shared" si="6"/>
        <v>January</v>
      </c>
    </row>
    <row r="64" spans="1:15" x14ac:dyDescent="0.3">
      <c r="A64" s="14" t="s">
        <v>86</v>
      </c>
      <c r="B64" s="14" t="s">
        <v>19</v>
      </c>
      <c r="C64" s="14">
        <v>59</v>
      </c>
      <c r="D64" s="14" t="s">
        <v>16</v>
      </c>
      <c r="E64" s="14" t="s">
        <v>13</v>
      </c>
      <c r="F64" s="14">
        <v>2</v>
      </c>
      <c r="G64" s="14">
        <v>3446</v>
      </c>
      <c r="H64" s="14">
        <v>6892</v>
      </c>
      <c r="I64" s="15">
        <v>45440</v>
      </c>
      <c r="J64" s="14" t="s">
        <v>21</v>
      </c>
      <c r="K64" s="16">
        <f t="shared" si="2"/>
        <v>6892</v>
      </c>
      <c r="L64" s="16" t="str">
        <f t="shared" si="3"/>
        <v>Correct</v>
      </c>
      <c r="M64" s="16" t="str">
        <f t="shared" si="4"/>
        <v>Senior</v>
      </c>
      <c r="N64" s="16" t="str">
        <f t="shared" si="5"/>
        <v>Normal</v>
      </c>
      <c r="O64" s="16" t="str">
        <f t="shared" si="6"/>
        <v>May</v>
      </c>
    </row>
    <row r="65" spans="1:15" x14ac:dyDescent="0.3">
      <c r="A65" s="14" t="s">
        <v>87</v>
      </c>
      <c r="B65" s="14" t="s">
        <v>19</v>
      </c>
      <c r="C65" s="14">
        <v>34</v>
      </c>
      <c r="D65" s="14" t="s">
        <v>12</v>
      </c>
      <c r="E65" s="14" t="s">
        <v>13</v>
      </c>
      <c r="F65" s="14">
        <v>3</v>
      </c>
      <c r="G65" s="14">
        <v>2300</v>
      </c>
      <c r="H65" s="14">
        <v>6900</v>
      </c>
      <c r="I65" s="15">
        <v>45519</v>
      </c>
      <c r="J65" s="14" t="s">
        <v>17</v>
      </c>
      <c r="K65" s="16">
        <f t="shared" si="2"/>
        <v>6900</v>
      </c>
      <c r="L65" s="16" t="str">
        <f t="shared" si="3"/>
        <v>Correct</v>
      </c>
      <c r="M65" s="16" t="str">
        <f t="shared" si="4"/>
        <v>Adult</v>
      </c>
      <c r="N65" s="16" t="str">
        <f t="shared" si="5"/>
        <v>Normal</v>
      </c>
      <c r="O65" s="16" t="str">
        <f t="shared" si="6"/>
        <v>August</v>
      </c>
    </row>
    <row r="66" spans="1:15" x14ac:dyDescent="0.3">
      <c r="A66" s="14" t="s">
        <v>88</v>
      </c>
      <c r="B66" s="14" t="s">
        <v>19</v>
      </c>
      <c r="C66" s="14">
        <v>20</v>
      </c>
      <c r="D66" s="14" t="s">
        <v>12</v>
      </c>
      <c r="E66" s="14" t="s">
        <v>31</v>
      </c>
      <c r="F66" s="14">
        <v>5</v>
      </c>
      <c r="G66" s="14">
        <v>3361</v>
      </c>
      <c r="H66" s="14">
        <v>16805</v>
      </c>
      <c r="I66" s="15">
        <v>45360</v>
      </c>
      <c r="J66" s="14" t="s">
        <v>17</v>
      </c>
      <c r="K66" s="16">
        <f t="shared" si="2"/>
        <v>16805</v>
      </c>
      <c r="L66" s="16" t="str">
        <f t="shared" si="3"/>
        <v>Correct</v>
      </c>
      <c r="M66" s="16" t="str">
        <f t="shared" si="4"/>
        <v>Adult</v>
      </c>
      <c r="N66" s="16" t="str">
        <f t="shared" si="5"/>
        <v>High Value</v>
      </c>
      <c r="O66" s="16" t="str">
        <f t="shared" ref="O66:O97" si="7">TEXT(I66,"mmmm")</f>
        <v>March</v>
      </c>
    </row>
    <row r="67" spans="1:15" x14ac:dyDescent="0.3">
      <c r="A67" s="14" t="s">
        <v>89</v>
      </c>
      <c r="B67" s="14" t="s">
        <v>11</v>
      </c>
      <c r="C67" s="14">
        <v>25</v>
      </c>
      <c r="D67" s="14" t="s">
        <v>16</v>
      </c>
      <c r="E67" s="14" t="s">
        <v>20</v>
      </c>
      <c r="F67" s="14">
        <v>3</v>
      </c>
      <c r="G67" s="14">
        <v>2964</v>
      </c>
      <c r="H67" s="14">
        <v>8892</v>
      </c>
      <c r="I67" s="15">
        <v>45344</v>
      </c>
      <c r="J67" s="14" t="s">
        <v>21</v>
      </c>
      <c r="K67" s="16">
        <f t="shared" ref="K67:K130" si="8">F67*G67</f>
        <v>8892</v>
      </c>
      <c r="L67" s="16" t="str">
        <f t="shared" ref="L67:L130" si="9">IF(H67=K67,"Correct","Mismatch")</f>
        <v>Correct</v>
      </c>
      <c r="M67" s="16" t="str">
        <f t="shared" ref="M67:M130" si="10">IF(C67&lt;20,"Teen",IF(C67&lt;=40,"Adult","Senior"))</f>
        <v>Adult</v>
      </c>
      <c r="N67" s="16" t="str">
        <f t="shared" ref="N67:N130" si="11">IF(H67&gt;10000,"High Value","Normal")</f>
        <v>Normal</v>
      </c>
      <c r="O67" s="16" t="str">
        <f t="shared" si="7"/>
        <v>February</v>
      </c>
    </row>
    <row r="68" spans="1:15" x14ac:dyDescent="0.3">
      <c r="A68" s="14" t="s">
        <v>90</v>
      </c>
      <c r="B68" s="14" t="s">
        <v>11</v>
      </c>
      <c r="C68" s="14">
        <v>36</v>
      </c>
      <c r="D68" s="14" t="s">
        <v>12</v>
      </c>
      <c r="E68" s="14" t="s">
        <v>20</v>
      </c>
      <c r="F68" s="14">
        <v>3</v>
      </c>
      <c r="G68" s="14">
        <v>2921</v>
      </c>
      <c r="H68" s="14">
        <v>8763</v>
      </c>
      <c r="I68" s="15">
        <v>45569</v>
      </c>
      <c r="J68" s="14" t="s">
        <v>24</v>
      </c>
      <c r="K68" s="16">
        <f t="shared" si="8"/>
        <v>8763</v>
      </c>
      <c r="L68" s="16" t="str">
        <f t="shared" si="9"/>
        <v>Correct</v>
      </c>
      <c r="M68" s="16" t="str">
        <f t="shared" si="10"/>
        <v>Adult</v>
      </c>
      <c r="N68" s="16" t="str">
        <f t="shared" si="11"/>
        <v>Normal</v>
      </c>
      <c r="O68" s="16" t="str">
        <f t="shared" si="7"/>
        <v>October</v>
      </c>
    </row>
    <row r="69" spans="1:15" x14ac:dyDescent="0.3">
      <c r="A69" s="14" t="s">
        <v>91</v>
      </c>
      <c r="B69" s="14" t="s">
        <v>11</v>
      </c>
      <c r="C69" s="14">
        <v>46</v>
      </c>
      <c r="D69" s="14" t="s">
        <v>26</v>
      </c>
      <c r="E69" s="14" t="s">
        <v>20</v>
      </c>
      <c r="F69" s="14">
        <v>4</v>
      </c>
      <c r="G69" s="14">
        <v>4656</v>
      </c>
      <c r="H69" s="14">
        <v>18624</v>
      </c>
      <c r="I69" s="15">
        <v>45584</v>
      </c>
      <c r="J69" s="14" t="s">
        <v>24</v>
      </c>
      <c r="K69" s="16">
        <f t="shared" si="8"/>
        <v>18624</v>
      </c>
      <c r="L69" s="16" t="str">
        <f t="shared" si="9"/>
        <v>Correct</v>
      </c>
      <c r="M69" s="16" t="str">
        <f t="shared" si="10"/>
        <v>Senior</v>
      </c>
      <c r="N69" s="16" t="str">
        <f t="shared" si="11"/>
        <v>High Value</v>
      </c>
      <c r="O69" s="16" t="str">
        <f t="shared" si="7"/>
        <v>October</v>
      </c>
    </row>
    <row r="70" spans="1:15" x14ac:dyDescent="0.3">
      <c r="A70" s="14" t="s">
        <v>92</v>
      </c>
      <c r="B70" s="14" t="s">
        <v>19</v>
      </c>
      <c r="C70" s="14">
        <v>45</v>
      </c>
      <c r="D70" s="14" t="s">
        <v>28</v>
      </c>
      <c r="E70" s="14" t="s">
        <v>20</v>
      </c>
      <c r="F70" s="14">
        <v>4</v>
      </c>
      <c r="G70" s="14">
        <v>4774</v>
      </c>
      <c r="H70" s="14">
        <v>19096</v>
      </c>
      <c r="I70" s="15">
        <v>45515</v>
      </c>
      <c r="J70" s="14" t="s">
        <v>17</v>
      </c>
      <c r="K70" s="16">
        <f t="shared" si="8"/>
        <v>19096</v>
      </c>
      <c r="L70" s="16" t="str">
        <f t="shared" si="9"/>
        <v>Correct</v>
      </c>
      <c r="M70" s="16" t="str">
        <f t="shared" si="10"/>
        <v>Senior</v>
      </c>
      <c r="N70" s="16" t="str">
        <f t="shared" si="11"/>
        <v>High Value</v>
      </c>
      <c r="O70" s="16" t="str">
        <f t="shared" si="7"/>
        <v>August</v>
      </c>
    </row>
    <row r="71" spans="1:15" x14ac:dyDescent="0.3">
      <c r="A71" s="14" t="s">
        <v>93</v>
      </c>
      <c r="B71" s="14" t="s">
        <v>11</v>
      </c>
      <c r="C71" s="14">
        <v>20</v>
      </c>
      <c r="D71" s="14" t="s">
        <v>28</v>
      </c>
      <c r="E71" s="14" t="s">
        <v>20</v>
      </c>
      <c r="F71" s="14">
        <v>5</v>
      </c>
      <c r="G71" s="14">
        <v>883</v>
      </c>
      <c r="H71" s="14">
        <v>4415</v>
      </c>
      <c r="I71" s="15">
        <v>45308</v>
      </c>
      <c r="J71" s="14" t="s">
        <v>14</v>
      </c>
      <c r="K71" s="16">
        <f t="shared" si="8"/>
        <v>4415</v>
      </c>
      <c r="L71" s="16" t="str">
        <f t="shared" si="9"/>
        <v>Correct</v>
      </c>
      <c r="M71" s="16" t="str">
        <f t="shared" si="10"/>
        <v>Adult</v>
      </c>
      <c r="N71" s="16" t="str">
        <f t="shared" si="11"/>
        <v>Normal</v>
      </c>
      <c r="O71" s="16" t="str">
        <f t="shared" si="7"/>
        <v>January</v>
      </c>
    </row>
    <row r="72" spans="1:15" x14ac:dyDescent="0.3">
      <c r="A72" s="14" t="s">
        <v>94</v>
      </c>
      <c r="B72" s="14" t="s">
        <v>11</v>
      </c>
      <c r="C72" s="14">
        <v>21</v>
      </c>
      <c r="D72" s="14" t="s">
        <v>16</v>
      </c>
      <c r="E72" s="14" t="s">
        <v>13</v>
      </c>
      <c r="F72" s="14">
        <v>3</v>
      </c>
      <c r="G72" s="14">
        <v>1722</v>
      </c>
      <c r="H72" s="14">
        <v>5166</v>
      </c>
      <c r="I72" s="15">
        <v>45500</v>
      </c>
      <c r="J72" s="14" t="s">
        <v>24</v>
      </c>
      <c r="K72" s="16">
        <f t="shared" si="8"/>
        <v>5166</v>
      </c>
      <c r="L72" s="16" t="str">
        <f t="shared" si="9"/>
        <v>Correct</v>
      </c>
      <c r="M72" s="16" t="str">
        <f t="shared" si="10"/>
        <v>Adult</v>
      </c>
      <c r="N72" s="16" t="str">
        <f t="shared" si="11"/>
        <v>Normal</v>
      </c>
      <c r="O72" s="16" t="str">
        <f t="shared" si="7"/>
        <v>July</v>
      </c>
    </row>
    <row r="73" spans="1:15" x14ac:dyDescent="0.3">
      <c r="A73" s="14" t="s">
        <v>95</v>
      </c>
      <c r="B73" s="14" t="s">
        <v>19</v>
      </c>
      <c r="C73" s="14">
        <v>22</v>
      </c>
      <c r="D73" s="14" t="s">
        <v>26</v>
      </c>
      <c r="E73" s="14" t="s">
        <v>13</v>
      </c>
      <c r="F73" s="14">
        <v>2</v>
      </c>
      <c r="G73" s="14">
        <v>4138</v>
      </c>
      <c r="H73" s="14">
        <v>8276</v>
      </c>
      <c r="I73" s="15">
        <v>45476</v>
      </c>
      <c r="J73" s="14" t="s">
        <v>14</v>
      </c>
      <c r="K73" s="16">
        <f t="shared" si="8"/>
        <v>8276</v>
      </c>
      <c r="L73" s="16" t="str">
        <f t="shared" si="9"/>
        <v>Correct</v>
      </c>
      <c r="M73" s="16" t="str">
        <f t="shared" si="10"/>
        <v>Adult</v>
      </c>
      <c r="N73" s="16" t="str">
        <f t="shared" si="11"/>
        <v>Normal</v>
      </c>
      <c r="O73" s="16" t="str">
        <f t="shared" si="7"/>
        <v>July</v>
      </c>
    </row>
    <row r="74" spans="1:15" x14ac:dyDescent="0.3">
      <c r="A74" s="14" t="s">
        <v>96</v>
      </c>
      <c r="B74" s="14" t="s">
        <v>19</v>
      </c>
      <c r="C74" s="14">
        <v>47</v>
      </c>
      <c r="D74" s="14" t="s">
        <v>26</v>
      </c>
      <c r="E74" s="14" t="s">
        <v>20</v>
      </c>
      <c r="F74" s="14">
        <v>4</v>
      </c>
      <c r="G74" s="14">
        <v>2111</v>
      </c>
      <c r="H74" s="14">
        <v>8444</v>
      </c>
      <c r="I74" s="15">
        <v>45426</v>
      </c>
      <c r="J74" s="14" t="s">
        <v>21</v>
      </c>
      <c r="K74" s="16">
        <f t="shared" si="8"/>
        <v>8444</v>
      </c>
      <c r="L74" s="16" t="str">
        <f t="shared" si="9"/>
        <v>Correct</v>
      </c>
      <c r="M74" s="16" t="str">
        <f t="shared" si="10"/>
        <v>Senior</v>
      </c>
      <c r="N74" s="16" t="str">
        <f t="shared" si="11"/>
        <v>Normal</v>
      </c>
      <c r="O74" s="16" t="str">
        <f t="shared" si="7"/>
        <v>May</v>
      </c>
    </row>
    <row r="75" spans="1:15" x14ac:dyDescent="0.3">
      <c r="A75" s="14" t="s">
        <v>97</v>
      </c>
      <c r="B75" s="14" t="s">
        <v>19</v>
      </c>
      <c r="C75" s="14">
        <v>33</v>
      </c>
      <c r="D75" s="14" t="s">
        <v>28</v>
      </c>
      <c r="E75" s="14" t="s">
        <v>20</v>
      </c>
      <c r="F75" s="14">
        <v>1</v>
      </c>
      <c r="G75" s="14">
        <v>1448</v>
      </c>
      <c r="H75" s="14">
        <v>1448</v>
      </c>
      <c r="I75" s="15">
        <v>45307</v>
      </c>
      <c r="J75" s="14" t="s">
        <v>24</v>
      </c>
      <c r="K75" s="16">
        <f t="shared" si="8"/>
        <v>1448</v>
      </c>
      <c r="L75" s="16" t="str">
        <f t="shared" si="9"/>
        <v>Correct</v>
      </c>
      <c r="M75" s="16" t="str">
        <f t="shared" si="10"/>
        <v>Adult</v>
      </c>
      <c r="N75" s="16" t="str">
        <f t="shared" si="11"/>
        <v>Normal</v>
      </c>
      <c r="O75" s="16" t="str">
        <f t="shared" si="7"/>
        <v>January</v>
      </c>
    </row>
    <row r="76" spans="1:15" x14ac:dyDescent="0.3">
      <c r="A76" s="14" t="s">
        <v>98</v>
      </c>
      <c r="B76" s="14" t="s">
        <v>11</v>
      </c>
      <c r="C76" s="14">
        <v>26</v>
      </c>
      <c r="D76" s="14" t="s">
        <v>12</v>
      </c>
      <c r="E76" s="14" t="s">
        <v>23</v>
      </c>
      <c r="F76" s="14">
        <v>1</v>
      </c>
      <c r="G76" s="14">
        <v>4579</v>
      </c>
      <c r="H76" s="14">
        <v>4579</v>
      </c>
      <c r="I76" s="15">
        <v>45446</v>
      </c>
      <c r="J76" s="14" t="s">
        <v>24</v>
      </c>
      <c r="K76" s="16">
        <f t="shared" si="8"/>
        <v>4579</v>
      </c>
      <c r="L76" s="16" t="str">
        <f t="shared" si="9"/>
        <v>Correct</v>
      </c>
      <c r="M76" s="16" t="str">
        <f t="shared" si="10"/>
        <v>Adult</v>
      </c>
      <c r="N76" s="16" t="str">
        <f t="shared" si="11"/>
        <v>Normal</v>
      </c>
      <c r="O76" s="16" t="str">
        <f t="shared" si="7"/>
        <v>June</v>
      </c>
    </row>
    <row r="77" spans="1:15" x14ac:dyDescent="0.3">
      <c r="A77" s="14" t="s">
        <v>99</v>
      </c>
      <c r="B77" s="14" t="s">
        <v>11</v>
      </c>
      <c r="C77" s="14">
        <v>18</v>
      </c>
      <c r="D77" s="14" t="s">
        <v>12</v>
      </c>
      <c r="E77" s="14" t="s">
        <v>31</v>
      </c>
      <c r="F77" s="14">
        <v>1</v>
      </c>
      <c r="G77" s="14">
        <v>2774</v>
      </c>
      <c r="H77" s="14">
        <v>2774</v>
      </c>
      <c r="I77" s="15">
        <v>45447</v>
      </c>
      <c r="J77" s="14" t="s">
        <v>17</v>
      </c>
      <c r="K77" s="16">
        <f t="shared" si="8"/>
        <v>2774</v>
      </c>
      <c r="L77" s="16" t="str">
        <f t="shared" si="9"/>
        <v>Correct</v>
      </c>
      <c r="M77" s="16" t="str">
        <f t="shared" si="10"/>
        <v>Teen</v>
      </c>
      <c r="N77" s="16" t="str">
        <f t="shared" si="11"/>
        <v>Normal</v>
      </c>
      <c r="O77" s="16" t="str">
        <f t="shared" si="7"/>
        <v>June</v>
      </c>
    </row>
    <row r="78" spans="1:15" x14ac:dyDescent="0.3">
      <c r="A78" s="14" t="s">
        <v>100</v>
      </c>
      <c r="B78" s="14" t="s">
        <v>19</v>
      </c>
      <c r="C78" s="14">
        <v>39</v>
      </c>
      <c r="D78" s="14" t="s">
        <v>12</v>
      </c>
      <c r="E78" s="14" t="s">
        <v>20</v>
      </c>
      <c r="F78" s="14">
        <v>1</v>
      </c>
      <c r="G78" s="14">
        <v>1704</v>
      </c>
      <c r="H78" s="14">
        <v>1704</v>
      </c>
      <c r="I78" s="15">
        <v>45437</v>
      </c>
      <c r="J78" s="14" t="s">
        <v>14</v>
      </c>
      <c r="K78" s="16">
        <f t="shared" si="8"/>
        <v>1704</v>
      </c>
      <c r="L78" s="16" t="str">
        <f t="shared" si="9"/>
        <v>Correct</v>
      </c>
      <c r="M78" s="16" t="str">
        <f t="shared" si="10"/>
        <v>Adult</v>
      </c>
      <c r="N78" s="16" t="str">
        <f t="shared" si="11"/>
        <v>Normal</v>
      </c>
      <c r="O78" s="16" t="str">
        <f t="shared" si="7"/>
        <v>May</v>
      </c>
    </row>
    <row r="79" spans="1:15" x14ac:dyDescent="0.3">
      <c r="A79" s="14" t="s">
        <v>101</v>
      </c>
      <c r="B79" s="14" t="s">
        <v>11</v>
      </c>
      <c r="C79" s="14">
        <v>21</v>
      </c>
      <c r="D79" s="14" t="s">
        <v>28</v>
      </c>
      <c r="E79" s="14" t="s">
        <v>20</v>
      </c>
      <c r="F79" s="14">
        <v>4</v>
      </c>
      <c r="G79" s="14">
        <v>1317</v>
      </c>
      <c r="H79" s="14">
        <v>5268</v>
      </c>
      <c r="I79" s="15">
        <v>45429</v>
      </c>
      <c r="J79" s="14" t="s">
        <v>14</v>
      </c>
      <c r="K79" s="16">
        <f t="shared" si="8"/>
        <v>5268</v>
      </c>
      <c r="L79" s="16" t="str">
        <f t="shared" si="9"/>
        <v>Correct</v>
      </c>
      <c r="M79" s="16" t="str">
        <f t="shared" si="10"/>
        <v>Adult</v>
      </c>
      <c r="N79" s="16" t="str">
        <f t="shared" si="11"/>
        <v>Normal</v>
      </c>
      <c r="O79" s="16" t="str">
        <f t="shared" si="7"/>
        <v>May</v>
      </c>
    </row>
    <row r="80" spans="1:15" x14ac:dyDescent="0.3">
      <c r="A80" s="14" t="s">
        <v>102</v>
      </c>
      <c r="B80" s="14" t="s">
        <v>11</v>
      </c>
      <c r="C80" s="14">
        <v>20</v>
      </c>
      <c r="D80" s="14" t="s">
        <v>16</v>
      </c>
      <c r="E80" s="14" t="s">
        <v>23</v>
      </c>
      <c r="F80" s="14">
        <v>2</v>
      </c>
      <c r="G80" s="14">
        <v>4499</v>
      </c>
      <c r="H80" s="14">
        <v>8998</v>
      </c>
      <c r="I80" s="15">
        <v>45520</v>
      </c>
      <c r="J80" s="14" t="s">
        <v>24</v>
      </c>
      <c r="K80" s="16">
        <f t="shared" si="8"/>
        <v>8998</v>
      </c>
      <c r="L80" s="16" t="str">
        <f t="shared" si="9"/>
        <v>Correct</v>
      </c>
      <c r="M80" s="16" t="str">
        <f t="shared" si="10"/>
        <v>Adult</v>
      </c>
      <c r="N80" s="16" t="str">
        <f t="shared" si="11"/>
        <v>Normal</v>
      </c>
      <c r="O80" s="16" t="str">
        <f t="shared" si="7"/>
        <v>August</v>
      </c>
    </row>
    <row r="81" spans="1:15" x14ac:dyDescent="0.3">
      <c r="A81" s="14" t="s">
        <v>103</v>
      </c>
      <c r="B81" s="14" t="s">
        <v>11</v>
      </c>
      <c r="C81" s="14">
        <v>20</v>
      </c>
      <c r="D81" s="14" t="s">
        <v>26</v>
      </c>
      <c r="E81" s="14" t="s">
        <v>31</v>
      </c>
      <c r="F81" s="14">
        <v>2</v>
      </c>
      <c r="G81" s="14">
        <v>1154</v>
      </c>
      <c r="H81" s="14">
        <v>2308</v>
      </c>
      <c r="I81" s="15">
        <v>45409</v>
      </c>
      <c r="J81" s="14" t="s">
        <v>17</v>
      </c>
      <c r="K81" s="16">
        <f t="shared" si="8"/>
        <v>2308</v>
      </c>
      <c r="L81" s="16" t="str">
        <f t="shared" si="9"/>
        <v>Correct</v>
      </c>
      <c r="M81" s="16" t="str">
        <f t="shared" si="10"/>
        <v>Adult</v>
      </c>
      <c r="N81" s="16" t="str">
        <f t="shared" si="11"/>
        <v>Normal</v>
      </c>
      <c r="O81" s="16" t="str">
        <f t="shared" si="7"/>
        <v>April</v>
      </c>
    </row>
    <row r="82" spans="1:15" x14ac:dyDescent="0.3">
      <c r="A82" s="14" t="s">
        <v>104</v>
      </c>
      <c r="B82" s="14" t="s">
        <v>19</v>
      </c>
      <c r="C82" s="14">
        <v>46</v>
      </c>
      <c r="D82" s="14" t="s">
        <v>12</v>
      </c>
      <c r="E82" s="14" t="s">
        <v>23</v>
      </c>
      <c r="F82" s="14">
        <v>3</v>
      </c>
      <c r="G82" s="14">
        <v>4600</v>
      </c>
      <c r="H82" s="14">
        <v>13800</v>
      </c>
      <c r="I82" s="15">
        <v>45465</v>
      </c>
      <c r="J82" s="14" t="s">
        <v>24</v>
      </c>
      <c r="K82" s="16">
        <f t="shared" si="8"/>
        <v>13800</v>
      </c>
      <c r="L82" s="16" t="str">
        <f t="shared" si="9"/>
        <v>Correct</v>
      </c>
      <c r="M82" s="16" t="str">
        <f t="shared" si="10"/>
        <v>Senior</v>
      </c>
      <c r="N82" s="16" t="str">
        <f t="shared" si="11"/>
        <v>High Value</v>
      </c>
      <c r="O82" s="16" t="str">
        <f t="shared" si="7"/>
        <v>June</v>
      </c>
    </row>
    <row r="83" spans="1:15" x14ac:dyDescent="0.3">
      <c r="A83" s="14" t="s">
        <v>105</v>
      </c>
      <c r="B83" s="14" t="s">
        <v>11</v>
      </c>
      <c r="C83" s="14">
        <v>36</v>
      </c>
      <c r="D83" s="14" t="s">
        <v>26</v>
      </c>
      <c r="E83" s="14" t="s">
        <v>31</v>
      </c>
      <c r="F83" s="14">
        <v>1</v>
      </c>
      <c r="G83" s="14">
        <v>1741</v>
      </c>
      <c r="H83" s="14">
        <v>1741</v>
      </c>
      <c r="I83" s="15">
        <v>45474</v>
      </c>
      <c r="J83" s="14" t="s">
        <v>17</v>
      </c>
      <c r="K83" s="16">
        <f t="shared" si="8"/>
        <v>1741</v>
      </c>
      <c r="L83" s="16" t="str">
        <f t="shared" si="9"/>
        <v>Correct</v>
      </c>
      <c r="M83" s="16" t="str">
        <f t="shared" si="10"/>
        <v>Adult</v>
      </c>
      <c r="N83" s="16" t="str">
        <f t="shared" si="11"/>
        <v>Normal</v>
      </c>
      <c r="O83" s="16" t="str">
        <f t="shared" si="7"/>
        <v>July</v>
      </c>
    </row>
    <row r="84" spans="1:15" x14ac:dyDescent="0.3">
      <c r="A84" s="14" t="s">
        <v>106</v>
      </c>
      <c r="B84" s="14" t="s">
        <v>19</v>
      </c>
      <c r="C84" s="14">
        <v>59</v>
      </c>
      <c r="D84" s="14" t="s">
        <v>26</v>
      </c>
      <c r="E84" s="14" t="s">
        <v>23</v>
      </c>
      <c r="F84" s="14">
        <v>3</v>
      </c>
      <c r="G84" s="14">
        <v>3804</v>
      </c>
      <c r="H84" s="14">
        <v>11412</v>
      </c>
      <c r="I84" s="15">
        <v>45428</v>
      </c>
      <c r="J84" s="14" t="s">
        <v>14</v>
      </c>
      <c r="K84" s="16">
        <f t="shared" si="8"/>
        <v>11412</v>
      </c>
      <c r="L84" s="16" t="str">
        <f t="shared" si="9"/>
        <v>Correct</v>
      </c>
      <c r="M84" s="16" t="str">
        <f t="shared" si="10"/>
        <v>Senior</v>
      </c>
      <c r="N84" s="16" t="str">
        <f t="shared" si="11"/>
        <v>High Value</v>
      </c>
      <c r="O84" s="16" t="str">
        <f t="shared" si="7"/>
        <v>May</v>
      </c>
    </row>
    <row r="85" spans="1:15" x14ac:dyDescent="0.3">
      <c r="A85" s="14" t="s">
        <v>107</v>
      </c>
      <c r="B85" s="14" t="s">
        <v>19</v>
      </c>
      <c r="C85" s="14">
        <v>50</v>
      </c>
      <c r="D85" s="14" t="s">
        <v>16</v>
      </c>
      <c r="E85" s="14" t="s">
        <v>20</v>
      </c>
      <c r="F85" s="14">
        <v>1</v>
      </c>
      <c r="G85" s="14">
        <v>3115</v>
      </c>
      <c r="H85" s="14">
        <v>3115</v>
      </c>
      <c r="I85" s="15">
        <v>45545</v>
      </c>
      <c r="J85" s="14" t="s">
        <v>14</v>
      </c>
      <c r="K85" s="16">
        <f t="shared" si="8"/>
        <v>3115</v>
      </c>
      <c r="L85" s="16" t="str">
        <f t="shared" si="9"/>
        <v>Correct</v>
      </c>
      <c r="M85" s="16" t="str">
        <f t="shared" si="10"/>
        <v>Senior</v>
      </c>
      <c r="N85" s="16" t="str">
        <f t="shared" si="11"/>
        <v>Normal</v>
      </c>
      <c r="O85" s="16" t="str">
        <f t="shared" si="7"/>
        <v>September</v>
      </c>
    </row>
    <row r="86" spans="1:15" x14ac:dyDescent="0.3">
      <c r="A86" s="14" t="s">
        <v>108</v>
      </c>
      <c r="B86" s="14" t="s">
        <v>19</v>
      </c>
      <c r="C86" s="14">
        <v>18</v>
      </c>
      <c r="D86" s="14" t="s">
        <v>16</v>
      </c>
      <c r="E86" s="14" t="s">
        <v>23</v>
      </c>
      <c r="F86" s="14">
        <v>3</v>
      </c>
      <c r="G86" s="14">
        <v>1851</v>
      </c>
      <c r="H86" s="14">
        <v>5553</v>
      </c>
      <c r="I86" s="15">
        <v>45631</v>
      </c>
      <c r="J86" s="14" t="s">
        <v>21</v>
      </c>
      <c r="K86" s="16">
        <f t="shared" si="8"/>
        <v>5553</v>
      </c>
      <c r="L86" s="16" t="str">
        <f t="shared" si="9"/>
        <v>Correct</v>
      </c>
      <c r="M86" s="16" t="str">
        <f t="shared" si="10"/>
        <v>Teen</v>
      </c>
      <c r="N86" s="16" t="str">
        <f t="shared" si="11"/>
        <v>Normal</v>
      </c>
      <c r="O86" s="16" t="str">
        <f t="shared" si="7"/>
        <v>December</v>
      </c>
    </row>
    <row r="87" spans="1:15" x14ac:dyDescent="0.3">
      <c r="A87" s="14" t="s">
        <v>109</v>
      </c>
      <c r="B87" s="14" t="s">
        <v>19</v>
      </c>
      <c r="C87" s="14">
        <v>51</v>
      </c>
      <c r="D87" s="14" t="s">
        <v>26</v>
      </c>
      <c r="E87" s="14" t="s">
        <v>13</v>
      </c>
      <c r="F87" s="14">
        <v>5</v>
      </c>
      <c r="G87" s="14">
        <v>2219</v>
      </c>
      <c r="H87" s="14">
        <v>11095</v>
      </c>
      <c r="I87" s="15">
        <v>45340</v>
      </c>
      <c r="J87" s="14" t="s">
        <v>24</v>
      </c>
      <c r="K87" s="16">
        <f t="shared" si="8"/>
        <v>11095</v>
      </c>
      <c r="L87" s="16" t="str">
        <f t="shared" si="9"/>
        <v>Correct</v>
      </c>
      <c r="M87" s="16" t="str">
        <f t="shared" si="10"/>
        <v>Senior</v>
      </c>
      <c r="N87" s="16" t="str">
        <f t="shared" si="11"/>
        <v>High Value</v>
      </c>
      <c r="O87" s="16" t="str">
        <f t="shared" si="7"/>
        <v>February</v>
      </c>
    </row>
    <row r="88" spans="1:15" x14ac:dyDescent="0.3">
      <c r="A88" s="14" t="s">
        <v>110</v>
      </c>
      <c r="B88" s="14" t="s">
        <v>11</v>
      </c>
      <c r="C88" s="14">
        <v>26</v>
      </c>
      <c r="D88" s="14" t="s">
        <v>28</v>
      </c>
      <c r="E88" s="14" t="s">
        <v>23</v>
      </c>
      <c r="F88" s="14">
        <v>3</v>
      </c>
      <c r="G88" s="14">
        <v>4411</v>
      </c>
      <c r="H88" s="14">
        <v>13233</v>
      </c>
      <c r="I88" s="15">
        <v>45359</v>
      </c>
      <c r="J88" s="14" t="s">
        <v>24</v>
      </c>
      <c r="K88" s="16">
        <f t="shared" si="8"/>
        <v>13233</v>
      </c>
      <c r="L88" s="16" t="str">
        <f t="shared" si="9"/>
        <v>Correct</v>
      </c>
      <c r="M88" s="16" t="str">
        <f t="shared" si="10"/>
        <v>Adult</v>
      </c>
      <c r="N88" s="16" t="str">
        <f t="shared" si="11"/>
        <v>High Value</v>
      </c>
      <c r="O88" s="16" t="str">
        <f t="shared" si="7"/>
        <v>March</v>
      </c>
    </row>
    <row r="89" spans="1:15" x14ac:dyDescent="0.3">
      <c r="A89" s="14" t="s">
        <v>111</v>
      </c>
      <c r="B89" s="14" t="s">
        <v>19</v>
      </c>
      <c r="C89" s="14">
        <v>53</v>
      </c>
      <c r="D89" s="14" t="s">
        <v>16</v>
      </c>
      <c r="E89" s="14" t="s">
        <v>31</v>
      </c>
      <c r="F89" s="14">
        <v>1</v>
      </c>
      <c r="G89" s="14">
        <v>1154</v>
      </c>
      <c r="H89" s="14">
        <v>1154</v>
      </c>
      <c r="I89" s="15">
        <v>45617</v>
      </c>
      <c r="J89" s="14" t="s">
        <v>21</v>
      </c>
      <c r="K89" s="16">
        <f t="shared" si="8"/>
        <v>1154</v>
      </c>
      <c r="L89" s="16" t="str">
        <f t="shared" si="9"/>
        <v>Correct</v>
      </c>
      <c r="M89" s="16" t="str">
        <f t="shared" si="10"/>
        <v>Senior</v>
      </c>
      <c r="N89" s="16" t="str">
        <f t="shared" si="11"/>
        <v>Normal</v>
      </c>
      <c r="O89" s="16" t="str">
        <f t="shared" si="7"/>
        <v>November</v>
      </c>
    </row>
    <row r="90" spans="1:15" x14ac:dyDescent="0.3">
      <c r="A90" s="14" t="s">
        <v>112</v>
      </c>
      <c r="B90" s="14" t="s">
        <v>19</v>
      </c>
      <c r="C90" s="14">
        <v>60</v>
      </c>
      <c r="D90" s="14" t="s">
        <v>26</v>
      </c>
      <c r="E90" s="14" t="s">
        <v>31</v>
      </c>
      <c r="F90" s="14">
        <v>1</v>
      </c>
      <c r="G90" s="14">
        <v>3346</v>
      </c>
      <c r="H90" s="14">
        <v>3346</v>
      </c>
      <c r="I90" s="15">
        <v>45316</v>
      </c>
      <c r="J90" s="14" t="s">
        <v>24</v>
      </c>
      <c r="K90" s="16">
        <f t="shared" si="8"/>
        <v>3346</v>
      </c>
      <c r="L90" s="16" t="str">
        <f t="shared" si="9"/>
        <v>Correct</v>
      </c>
      <c r="M90" s="16" t="str">
        <f t="shared" si="10"/>
        <v>Senior</v>
      </c>
      <c r="N90" s="16" t="str">
        <f t="shared" si="11"/>
        <v>Normal</v>
      </c>
      <c r="O90" s="16" t="str">
        <f t="shared" si="7"/>
        <v>January</v>
      </c>
    </row>
    <row r="91" spans="1:15" x14ac:dyDescent="0.3">
      <c r="A91" s="14" t="s">
        <v>113</v>
      </c>
      <c r="B91" s="14" t="s">
        <v>11</v>
      </c>
      <c r="C91" s="14">
        <v>38</v>
      </c>
      <c r="D91" s="14" t="s">
        <v>28</v>
      </c>
      <c r="E91" s="14" t="s">
        <v>23</v>
      </c>
      <c r="F91" s="14">
        <v>3</v>
      </c>
      <c r="G91" s="14">
        <v>2190</v>
      </c>
      <c r="H91" s="14">
        <v>6570</v>
      </c>
      <c r="I91" s="15">
        <v>45294</v>
      </c>
      <c r="J91" s="14" t="s">
        <v>14</v>
      </c>
      <c r="K91" s="16">
        <f t="shared" si="8"/>
        <v>6570</v>
      </c>
      <c r="L91" s="16" t="str">
        <f t="shared" si="9"/>
        <v>Correct</v>
      </c>
      <c r="M91" s="16" t="str">
        <f t="shared" si="10"/>
        <v>Adult</v>
      </c>
      <c r="N91" s="16" t="str">
        <f t="shared" si="11"/>
        <v>Normal</v>
      </c>
      <c r="O91" s="16" t="str">
        <f t="shared" si="7"/>
        <v>January</v>
      </c>
    </row>
    <row r="92" spans="1:15" x14ac:dyDescent="0.3">
      <c r="A92" s="14" t="s">
        <v>114</v>
      </c>
      <c r="B92" s="14" t="s">
        <v>19</v>
      </c>
      <c r="C92" s="14">
        <v>23</v>
      </c>
      <c r="D92" s="14" t="s">
        <v>16</v>
      </c>
      <c r="E92" s="14" t="s">
        <v>31</v>
      </c>
      <c r="F92" s="14">
        <v>1</v>
      </c>
      <c r="G92" s="14">
        <v>1083</v>
      </c>
      <c r="H92" s="14">
        <v>1083</v>
      </c>
      <c r="I92" s="15">
        <v>45633</v>
      </c>
      <c r="J92" s="14" t="s">
        <v>24</v>
      </c>
      <c r="K92" s="16">
        <f t="shared" si="8"/>
        <v>1083</v>
      </c>
      <c r="L92" s="16" t="str">
        <f t="shared" si="9"/>
        <v>Correct</v>
      </c>
      <c r="M92" s="16" t="str">
        <f t="shared" si="10"/>
        <v>Adult</v>
      </c>
      <c r="N92" s="16" t="str">
        <f t="shared" si="11"/>
        <v>Normal</v>
      </c>
      <c r="O92" s="16" t="str">
        <f t="shared" si="7"/>
        <v>December</v>
      </c>
    </row>
    <row r="93" spans="1:15" x14ac:dyDescent="0.3">
      <c r="A93" s="14" t="s">
        <v>115</v>
      </c>
      <c r="B93" s="14" t="s">
        <v>11</v>
      </c>
      <c r="C93" s="14">
        <v>53</v>
      </c>
      <c r="D93" s="14" t="s">
        <v>28</v>
      </c>
      <c r="E93" s="14" t="s">
        <v>23</v>
      </c>
      <c r="F93" s="14">
        <v>5</v>
      </c>
      <c r="G93" s="14">
        <v>4746</v>
      </c>
      <c r="H93" s="14">
        <v>23730</v>
      </c>
      <c r="I93" s="15">
        <v>45415</v>
      </c>
      <c r="J93" s="14" t="s">
        <v>17</v>
      </c>
      <c r="K93" s="16">
        <f t="shared" si="8"/>
        <v>23730</v>
      </c>
      <c r="L93" s="16" t="str">
        <f t="shared" si="9"/>
        <v>Correct</v>
      </c>
      <c r="M93" s="16" t="str">
        <f t="shared" si="10"/>
        <v>Senior</v>
      </c>
      <c r="N93" s="16" t="str">
        <f t="shared" si="11"/>
        <v>High Value</v>
      </c>
      <c r="O93" s="16" t="str">
        <f t="shared" si="7"/>
        <v>May</v>
      </c>
    </row>
    <row r="94" spans="1:15" x14ac:dyDescent="0.3">
      <c r="A94" s="14" t="s">
        <v>116</v>
      </c>
      <c r="B94" s="14" t="s">
        <v>11</v>
      </c>
      <c r="C94" s="14">
        <v>38</v>
      </c>
      <c r="D94" s="14" t="s">
        <v>12</v>
      </c>
      <c r="E94" s="14" t="s">
        <v>31</v>
      </c>
      <c r="F94" s="14">
        <v>4</v>
      </c>
      <c r="G94" s="14">
        <v>1496</v>
      </c>
      <c r="H94" s="14">
        <v>5984</v>
      </c>
      <c r="I94" s="15">
        <v>45571</v>
      </c>
      <c r="J94" s="14" t="s">
        <v>14</v>
      </c>
      <c r="K94" s="16">
        <f t="shared" si="8"/>
        <v>5984</v>
      </c>
      <c r="L94" s="16" t="str">
        <f t="shared" si="9"/>
        <v>Correct</v>
      </c>
      <c r="M94" s="16" t="str">
        <f t="shared" si="10"/>
        <v>Adult</v>
      </c>
      <c r="N94" s="16" t="str">
        <f t="shared" si="11"/>
        <v>Normal</v>
      </c>
      <c r="O94" s="16" t="str">
        <f t="shared" si="7"/>
        <v>October</v>
      </c>
    </row>
    <row r="95" spans="1:15" x14ac:dyDescent="0.3">
      <c r="A95" s="14" t="s">
        <v>117</v>
      </c>
      <c r="B95" s="14" t="s">
        <v>19</v>
      </c>
      <c r="C95" s="14">
        <v>60</v>
      </c>
      <c r="D95" s="14" t="s">
        <v>12</v>
      </c>
      <c r="E95" s="14" t="s">
        <v>31</v>
      </c>
      <c r="F95" s="14">
        <v>5</v>
      </c>
      <c r="G95" s="14">
        <v>4945</v>
      </c>
      <c r="H95" s="14">
        <v>24725</v>
      </c>
      <c r="I95" s="15">
        <v>45629</v>
      </c>
      <c r="J95" s="14" t="s">
        <v>17</v>
      </c>
      <c r="K95" s="16">
        <f t="shared" si="8"/>
        <v>24725</v>
      </c>
      <c r="L95" s="16" t="str">
        <f t="shared" si="9"/>
        <v>Correct</v>
      </c>
      <c r="M95" s="16" t="str">
        <f t="shared" si="10"/>
        <v>Senior</v>
      </c>
      <c r="N95" s="16" t="str">
        <f t="shared" si="11"/>
        <v>High Value</v>
      </c>
      <c r="O95" s="16" t="str">
        <f t="shared" si="7"/>
        <v>December</v>
      </c>
    </row>
    <row r="96" spans="1:15" x14ac:dyDescent="0.3">
      <c r="A96" s="14" t="s">
        <v>118</v>
      </c>
      <c r="B96" s="14" t="s">
        <v>19</v>
      </c>
      <c r="C96" s="14">
        <v>56</v>
      </c>
      <c r="D96" s="14" t="s">
        <v>16</v>
      </c>
      <c r="E96" s="14" t="s">
        <v>20</v>
      </c>
      <c r="F96" s="14">
        <v>3</v>
      </c>
      <c r="G96" s="14">
        <v>1208</v>
      </c>
      <c r="H96" s="14">
        <v>3624</v>
      </c>
      <c r="I96" s="15">
        <v>45637</v>
      </c>
      <c r="J96" s="14" t="s">
        <v>14</v>
      </c>
      <c r="K96" s="16">
        <f t="shared" si="8"/>
        <v>3624</v>
      </c>
      <c r="L96" s="16" t="str">
        <f t="shared" si="9"/>
        <v>Correct</v>
      </c>
      <c r="M96" s="16" t="str">
        <f t="shared" si="10"/>
        <v>Senior</v>
      </c>
      <c r="N96" s="16" t="str">
        <f t="shared" si="11"/>
        <v>Normal</v>
      </c>
      <c r="O96" s="16" t="str">
        <f t="shared" si="7"/>
        <v>December</v>
      </c>
    </row>
    <row r="97" spans="1:15" x14ac:dyDescent="0.3">
      <c r="A97" s="14" t="s">
        <v>119</v>
      </c>
      <c r="B97" s="14" t="s">
        <v>19</v>
      </c>
      <c r="C97" s="14">
        <v>40</v>
      </c>
      <c r="D97" s="14" t="s">
        <v>28</v>
      </c>
      <c r="E97" s="14" t="s">
        <v>23</v>
      </c>
      <c r="F97" s="14">
        <v>1</v>
      </c>
      <c r="G97" s="14">
        <v>2245</v>
      </c>
      <c r="H97" s="14">
        <v>2245</v>
      </c>
      <c r="I97" s="15">
        <v>45344</v>
      </c>
      <c r="J97" s="14" t="s">
        <v>17</v>
      </c>
      <c r="K97" s="16">
        <f t="shared" si="8"/>
        <v>2245</v>
      </c>
      <c r="L97" s="16" t="str">
        <f t="shared" si="9"/>
        <v>Correct</v>
      </c>
      <c r="M97" s="16" t="str">
        <f t="shared" si="10"/>
        <v>Adult</v>
      </c>
      <c r="N97" s="16" t="str">
        <f t="shared" si="11"/>
        <v>Normal</v>
      </c>
      <c r="O97" s="16" t="str">
        <f t="shared" si="7"/>
        <v>February</v>
      </c>
    </row>
    <row r="98" spans="1:15" x14ac:dyDescent="0.3">
      <c r="A98" s="14" t="s">
        <v>120</v>
      </c>
      <c r="B98" s="14" t="s">
        <v>11</v>
      </c>
      <c r="C98" s="14">
        <v>41</v>
      </c>
      <c r="D98" s="14" t="s">
        <v>16</v>
      </c>
      <c r="E98" s="14" t="s">
        <v>31</v>
      </c>
      <c r="F98" s="14">
        <v>1</v>
      </c>
      <c r="G98" s="14">
        <v>1424</v>
      </c>
      <c r="H98" s="14">
        <v>1424</v>
      </c>
      <c r="I98" s="15">
        <v>45347</v>
      </c>
      <c r="J98" s="14" t="s">
        <v>17</v>
      </c>
      <c r="K98" s="16">
        <f t="shared" si="8"/>
        <v>1424</v>
      </c>
      <c r="L98" s="16" t="str">
        <f t="shared" si="9"/>
        <v>Correct</v>
      </c>
      <c r="M98" s="16" t="str">
        <f t="shared" si="10"/>
        <v>Senior</v>
      </c>
      <c r="N98" s="16" t="str">
        <f t="shared" si="11"/>
        <v>Normal</v>
      </c>
      <c r="O98" s="16" t="str">
        <f t="shared" ref="O98:O129" si="12">TEXT(I98,"mmmm")</f>
        <v>February</v>
      </c>
    </row>
    <row r="99" spans="1:15" x14ac:dyDescent="0.3">
      <c r="A99" s="14" t="s">
        <v>121</v>
      </c>
      <c r="B99" s="14" t="s">
        <v>19</v>
      </c>
      <c r="C99" s="14">
        <v>53</v>
      </c>
      <c r="D99" s="14" t="s">
        <v>26</v>
      </c>
      <c r="E99" s="14" t="s">
        <v>13</v>
      </c>
      <c r="F99" s="14">
        <v>1</v>
      </c>
      <c r="G99" s="14">
        <v>2980</v>
      </c>
      <c r="H99" s="14">
        <v>2980</v>
      </c>
      <c r="I99" s="15">
        <v>45454</v>
      </c>
      <c r="J99" s="14" t="s">
        <v>17</v>
      </c>
      <c r="K99" s="16">
        <f t="shared" si="8"/>
        <v>2980</v>
      </c>
      <c r="L99" s="16" t="str">
        <f t="shared" si="9"/>
        <v>Correct</v>
      </c>
      <c r="M99" s="16" t="str">
        <f t="shared" si="10"/>
        <v>Senior</v>
      </c>
      <c r="N99" s="16" t="str">
        <f t="shared" si="11"/>
        <v>Normal</v>
      </c>
      <c r="O99" s="16" t="str">
        <f t="shared" si="12"/>
        <v>June</v>
      </c>
    </row>
    <row r="100" spans="1:15" x14ac:dyDescent="0.3">
      <c r="A100" s="14" t="s">
        <v>122</v>
      </c>
      <c r="B100" s="14" t="s">
        <v>11</v>
      </c>
      <c r="C100" s="14">
        <v>39</v>
      </c>
      <c r="D100" s="14" t="s">
        <v>16</v>
      </c>
      <c r="E100" s="14" t="s">
        <v>23</v>
      </c>
      <c r="F100" s="14">
        <v>4</v>
      </c>
      <c r="G100" s="14">
        <v>3193</v>
      </c>
      <c r="H100" s="14">
        <v>12772</v>
      </c>
      <c r="I100" s="15">
        <v>45655</v>
      </c>
      <c r="J100" s="14" t="s">
        <v>21</v>
      </c>
      <c r="K100" s="16">
        <f t="shared" si="8"/>
        <v>12772</v>
      </c>
      <c r="L100" s="16" t="str">
        <f t="shared" si="9"/>
        <v>Correct</v>
      </c>
      <c r="M100" s="16" t="str">
        <f t="shared" si="10"/>
        <v>Adult</v>
      </c>
      <c r="N100" s="16" t="str">
        <f t="shared" si="11"/>
        <v>High Value</v>
      </c>
      <c r="O100" s="16" t="str">
        <f t="shared" si="12"/>
        <v>December</v>
      </c>
    </row>
    <row r="101" spans="1:15" x14ac:dyDescent="0.3">
      <c r="A101" s="14" t="s">
        <v>123</v>
      </c>
      <c r="B101" s="14" t="s">
        <v>19</v>
      </c>
      <c r="C101" s="14">
        <v>38</v>
      </c>
      <c r="D101" s="14" t="s">
        <v>12</v>
      </c>
      <c r="E101" s="14" t="s">
        <v>31</v>
      </c>
      <c r="F101" s="14">
        <v>1</v>
      </c>
      <c r="G101" s="14">
        <v>2013</v>
      </c>
      <c r="H101" s="14">
        <v>2013</v>
      </c>
      <c r="I101" s="15">
        <v>45632</v>
      </c>
      <c r="J101" s="14" t="s">
        <v>21</v>
      </c>
      <c r="K101" s="16">
        <f t="shared" si="8"/>
        <v>2013</v>
      </c>
      <c r="L101" s="16" t="str">
        <f t="shared" si="9"/>
        <v>Correct</v>
      </c>
      <c r="M101" s="16" t="str">
        <f t="shared" si="10"/>
        <v>Adult</v>
      </c>
      <c r="N101" s="16" t="str">
        <f t="shared" si="11"/>
        <v>Normal</v>
      </c>
      <c r="O101" s="16" t="str">
        <f t="shared" si="12"/>
        <v>December</v>
      </c>
    </row>
    <row r="102" spans="1:15" x14ac:dyDescent="0.3">
      <c r="A102" s="14" t="s">
        <v>124</v>
      </c>
      <c r="B102" s="14" t="s">
        <v>11</v>
      </c>
      <c r="C102" s="14">
        <v>35</v>
      </c>
      <c r="D102" s="14" t="s">
        <v>16</v>
      </c>
      <c r="E102" s="14" t="s">
        <v>23</v>
      </c>
      <c r="F102" s="14">
        <v>5</v>
      </c>
      <c r="G102" s="14">
        <v>1613</v>
      </c>
      <c r="H102" s="14">
        <v>8065</v>
      </c>
      <c r="I102" s="15">
        <v>45309</v>
      </c>
      <c r="J102" s="14" t="s">
        <v>14</v>
      </c>
      <c r="K102" s="16">
        <f t="shared" si="8"/>
        <v>8065</v>
      </c>
      <c r="L102" s="16" t="str">
        <f t="shared" si="9"/>
        <v>Correct</v>
      </c>
      <c r="M102" s="16" t="str">
        <f t="shared" si="10"/>
        <v>Adult</v>
      </c>
      <c r="N102" s="16" t="str">
        <f t="shared" si="11"/>
        <v>Normal</v>
      </c>
      <c r="O102" s="16" t="str">
        <f t="shared" si="12"/>
        <v>January</v>
      </c>
    </row>
    <row r="103" spans="1:15" x14ac:dyDescent="0.3">
      <c r="A103" s="14" t="s">
        <v>125</v>
      </c>
      <c r="B103" s="14" t="s">
        <v>11</v>
      </c>
      <c r="C103" s="14">
        <v>39</v>
      </c>
      <c r="D103" s="14" t="s">
        <v>16</v>
      </c>
      <c r="E103" s="14" t="s">
        <v>31</v>
      </c>
      <c r="F103" s="14">
        <v>1</v>
      </c>
      <c r="G103" s="14">
        <v>4837</v>
      </c>
      <c r="H103" s="14">
        <v>4837</v>
      </c>
      <c r="I103" s="15">
        <v>45609</v>
      </c>
      <c r="J103" s="14" t="s">
        <v>14</v>
      </c>
      <c r="K103" s="16">
        <f t="shared" si="8"/>
        <v>4837</v>
      </c>
      <c r="L103" s="16" t="str">
        <f t="shared" si="9"/>
        <v>Correct</v>
      </c>
      <c r="M103" s="16" t="str">
        <f t="shared" si="10"/>
        <v>Adult</v>
      </c>
      <c r="N103" s="16" t="str">
        <f t="shared" si="11"/>
        <v>Normal</v>
      </c>
      <c r="O103" s="16" t="str">
        <f t="shared" si="12"/>
        <v>November</v>
      </c>
    </row>
    <row r="104" spans="1:15" x14ac:dyDescent="0.3">
      <c r="A104" s="14" t="s">
        <v>126</v>
      </c>
      <c r="B104" s="14" t="s">
        <v>19</v>
      </c>
      <c r="C104" s="14">
        <v>47</v>
      </c>
      <c r="D104" s="14" t="s">
        <v>26</v>
      </c>
      <c r="E104" s="14" t="s">
        <v>13</v>
      </c>
      <c r="F104" s="14">
        <v>1</v>
      </c>
      <c r="G104" s="14">
        <v>1336</v>
      </c>
      <c r="H104" s="14">
        <v>1336</v>
      </c>
      <c r="I104" s="15">
        <v>45383</v>
      </c>
      <c r="J104" s="14" t="s">
        <v>14</v>
      </c>
      <c r="K104" s="16">
        <f t="shared" si="8"/>
        <v>1336</v>
      </c>
      <c r="L104" s="16" t="str">
        <f t="shared" si="9"/>
        <v>Correct</v>
      </c>
      <c r="M104" s="16" t="str">
        <f t="shared" si="10"/>
        <v>Senior</v>
      </c>
      <c r="N104" s="16" t="str">
        <f t="shared" si="11"/>
        <v>Normal</v>
      </c>
      <c r="O104" s="16" t="str">
        <f t="shared" si="12"/>
        <v>April</v>
      </c>
    </row>
    <row r="105" spans="1:15" x14ac:dyDescent="0.3">
      <c r="A105" s="14" t="s">
        <v>127</v>
      </c>
      <c r="B105" s="14" t="s">
        <v>19</v>
      </c>
      <c r="C105" s="14">
        <v>49</v>
      </c>
      <c r="D105" s="14" t="s">
        <v>26</v>
      </c>
      <c r="E105" s="14" t="s">
        <v>23</v>
      </c>
      <c r="F105" s="14">
        <v>5</v>
      </c>
      <c r="G105" s="14">
        <v>4780</v>
      </c>
      <c r="H105" s="14">
        <v>23900</v>
      </c>
      <c r="I105" s="15">
        <v>45343</v>
      </c>
      <c r="J105" s="14" t="s">
        <v>21</v>
      </c>
      <c r="K105" s="16">
        <f t="shared" si="8"/>
        <v>23900</v>
      </c>
      <c r="L105" s="16" t="str">
        <f t="shared" si="9"/>
        <v>Correct</v>
      </c>
      <c r="M105" s="16" t="str">
        <f t="shared" si="10"/>
        <v>Senior</v>
      </c>
      <c r="N105" s="16" t="str">
        <f t="shared" si="11"/>
        <v>High Value</v>
      </c>
      <c r="O105" s="16" t="str">
        <f t="shared" si="12"/>
        <v>February</v>
      </c>
    </row>
    <row r="106" spans="1:15" x14ac:dyDescent="0.3">
      <c r="A106" s="14" t="s">
        <v>128</v>
      </c>
      <c r="B106" s="14" t="s">
        <v>19</v>
      </c>
      <c r="C106" s="14">
        <v>46</v>
      </c>
      <c r="D106" s="14" t="s">
        <v>16</v>
      </c>
      <c r="E106" s="14" t="s">
        <v>20</v>
      </c>
      <c r="F106" s="14">
        <v>5</v>
      </c>
      <c r="G106" s="14">
        <v>3357</v>
      </c>
      <c r="H106" s="14">
        <v>16785</v>
      </c>
      <c r="I106" s="15">
        <v>45545</v>
      </c>
      <c r="J106" s="14" t="s">
        <v>14</v>
      </c>
      <c r="K106" s="16">
        <f t="shared" si="8"/>
        <v>16785</v>
      </c>
      <c r="L106" s="16" t="str">
        <f t="shared" si="9"/>
        <v>Correct</v>
      </c>
      <c r="M106" s="16" t="str">
        <f t="shared" si="10"/>
        <v>Senior</v>
      </c>
      <c r="N106" s="16" t="str">
        <f t="shared" si="11"/>
        <v>High Value</v>
      </c>
      <c r="O106" s="16" t="str">
        <f t="shared" si="12"/>
        <v>September</v>
      </c>
    </row>
    <row r="107" spans="1:15" x14ac:dyDescent="0.3">
      <c r="A107" s="14" t="s">
        <v>129</v>
      </c>
      <c r="B107" s="14" t="s">
        <v>11</v>
      </c>
      <c r="C107" s="14">
        <v>30</v>
      </c>
      <c r="D107" s="14" t="s">
        <v>28</v>
      </c>
      <c r="E107" s="14" t="s">
        <v>20</v>
      </c>
      <c r="F107" s="14">
        <v>3</v>
      </c>
      <c r="G107" s="14">
        <v>640</v>
      </c>
      <c r="H107" s="14">
        <v>1920</v>
      </c>
      <c r="I107" s="15">
        <v>45600</v>
      </c>
      <c r="J107" s="14" t="s">
        <v>21</v>
      </c>
      <c r="K107" s="16">
        <f t="shared" si="8"/>
        <v>1920</v>
      </c>
      <c r="L107" s="16" t="str">
        <f t="shared" si="9"/>
        <v>Correct</v>
      </c>
      <c r="M107" s="16" t="str">
        <f t="shared" si="10"/>
        <v>Adult</v>
      </c>
      <c r="N107" s="16" t="str">
        <f t="shared" si="11"/>
        <v>Normal</v>
      </c>
      <c r="O107" s="16" t="str">
        <f t="shared" si="12"/>
        <v>November</v>
      </c>
    </row>
    <row r="108" spans="1:15" x14ac:dyDescent="0.3">
      <c r="A108" s="14" t="s">
        <v>130</v>
      </c>
      <c r="B108" s="14" t="s">
        <v>19</v>
      </c>
      <c r="C108" s="14">
        <v>20</v>
      </c>
      <c r="D108" s="14" t="s">
        <v>16</v>
      </c>
      <c r="E108" s="14" t="s">
        <v>23</v>
      </c>
      <c r="F108" s="14">
        <v>1</v>
      </c>
      <c r="G108" s="14">
        <v>2187</v>
      </c>
      <c r="H108" s="14">
        <v>2187</v>
      </c>
      <c r="I108" s="15">
        <v>45301</v>
      </c>
      <c r="J108" s="14" t="s">
        <v>14</v>
      </c>
      <c r="K108" s="16">
        <f t="shared" si="8"/>
        <v>2187</v>
      </c>
      <c r="L108" s="16" t="str">
        <f t="shared" si="9"/>
        <v>Correct</v>
      </c>
      <c r="M108" s="16" t="str">
        <f t="shared" si="10"/>
        <v>Adult</v>
      </c>
      <c r="N108" s="16" t="str">
        <f t="shared" si="11"/>
        <v>Normal</v>
      </c>
      <c r="O108" s="16" t="str">
        <f t="shared" si="12"/>
        <v>January</v>
      </c>
    </row>
    <row r="109" spans="1:15" x14ac:dyDescent="0.3">
      <c r="A109" s="14" t="s">
        <v>131</v>
      </c>
      <c r="B109" s="14" t="s">
        <v>19</v>
      </c>
      <c r="C109" s="14">
        <v>30</v>
      </c>
      <c r="D109" s="14" t="s">
        <v>26</v>
      </c>
      <c r="E109" s="14" t="s">
        <v>31</v>
      </c>
      <c r="F109" s="14">
        <v>4</v>
      </c>
      <c r="G109" s="14">
        <v>1024</v>
      </c>
      <c r="H109" s="14">
        <v>4096</v>
      </c>
      <c r="I109" s="15">
        <v>45562</v>
      </c>
      <c r="J109" s="14" t="s">
        <v>24</v>
      </c>
      <c r="K109" s="16">
        <f t="shared" si="8"/>
        <v>4096</v>
      </c>
      <c r="L109" s="16" t="str">
        <f t="shared" si="9"/>
        <v>Correct</v>
      </c>
      <c r="M109" s="16" t="str">
        <f t="shared" si="10"/>
        <v>Adult</v>
      </c>
      <c r="N109" s="16" t="str">
        <f t="shared" si="11"/>
        <v>Normal</v>
      </c>
      <c r="O109" s="16" t="str">
        <f t="shared" si="12"/>
        <v>September</v>
      </c>
    </row>
    <row r="110" spans="1:15" x14ac:dyDescent="0.3">
      <c r="A110" s="14" t="s">
        <v>132</v>
      </c>
      <c r="B110" s="14" t="s">
        <v>11</v>
      </c>
      <c r="C110" s="14">
        <v>42</v>
      </c>
      <c r="D110" s="14" t="s">
        <v>26</v>
      </c>
      <c r="E110" s="14" t="s">
        <v>23</v>
      </c>
      <c r="F110" s="14">
        <v>1</v>
      </c>
      <c r="G110" s="14">
        <v>645</v>
      </c>
      <c r="H110" s="14">
        <v>645</v>
      </c>
      <c r="I110" s="15">
        <v>45347</v>
      </c>
      <c r="J110" s="14" t="s">
        <v>21</v>
      </c>
      <c r="K110" s="16">
        <f t="shared" si="8"/>
        <v>645</v>
      </c>
      <c r="L110" s="16" t="str">
        <f t="shared" si="9"/>
        <v>Correct</v>
      </c>
      <c r="M110" s="16" t="str">
        <f t="shared" si="10"/>
        <v>Senior</v>
      </c>
      <c r="N110" s="16" t="str">
        <f t="shared" si="11"/>
        <v>Normal</v>
      </c>
      <c r="O110" s="16" t="str">
        <f t="shared" si="12"/>
        <v>February</v>
      </c>
    </row>
    <row r="111" spans="1:15" x14ac:dyDescent="0.3">
      <c r="A111" s="14" t="s">
        <v>133</v>
      </c>
      <c r="B111" s="14" t="s">
        <v>19</v>
      </c>
      <c r="C111" s="14">
        <v>28</v>
      </c>
      <c r="D111" s="14" t="s">
        <v>28</v>
      </c>
      <c r="E111" s="14" t="s">
        <v>20</v>
      </c>
      <c r="F111" s="14">
        <v>3</v>
      </c>
      <c r="G111" s="14">
        <v>2696</v>
      </c>
      <c r="H111" s="14">
        <v>8088</v>
      </c>
      <c r="I111" s="15">
        <v>45463</v>
      </c>
      <c r="J111" s="14" t="s">
        <v>14</v>
      </c>
      <c r="K111" s="16">
        <f t="shared" si="8"/>
        <v>8088</v>
      </c>
      <c r="L111" s="16" t="str">
        <f t="shared" si="9"/>
        <v>Correct</v>
      </c>
      <c r="M111" s="16" t="str">
        <f t="shared" si="10"/>
        <v>Adult</v>
      </c>
      <c r="N111" s="16" t="str">
        <f t="shared" si="11"/>
        <v>Normal</v>
      </c>
      <c r="O111" s="16" t="str">
        <f t="shared" si="12"/>
        <v>June</v>
      </c>
    </row>
    <row r="112" spans="1:15" x14ac:dyDescent="0.3">
      <c r="A112" s="14" t="s">
        <v>134</v>
      </c>
      <c r="B112" s="14" t="s">
        <v>19</v>
      </c>
      <c r="C112" s="14">
        <v>52</v>
      </c>
      <c r="D112" s="14" t="s">
        <v>28</v>
      </c>
      <c r="E112" s="14" t="s">
        <v>13</v>
      </c>
      <c r="F112" s="14">
        <v>4</v>
      </c>
      <c r="G112" s="14">
        <v>618</v>
      </c>
      <c r="H112" s="14">
        <v>2472</v>
      </c>
      <c r="I112" s="15">
        <v>45648</v>
      </c>
      <c r="J112" s="14" t="s">
        <v>14</v>
      </c>
      <c r="K112" s="16">
        <f t="shared" si="8"/>
        <v>2472</v>
      </c>
      <c r="L112" s="16" t="str">
        <f t="shared" si="9"/>
        <v>Correct</v>
      </c>
      <c r="M112" s="16" t="str">
        <f t="shared" si="10"/>
        <v>Senior</v>
      </c>
      <c r="N112" s="16" t="str">
        <f t="shared" si="11"/>
        <v>Normal</v>
      </c>
      <c r="O112" s="16" t="str">
        <f t="shared" si="12"/>
        <v>December</v>
      </c>
    </row>
    <row r="113" spans="1:15" x14ac:dyDescent="0.3">
      <c r="A113" s="14" t="s">
        <v>135</v>
      </c>
      <c r="B113" s="14" t="s">
        <v>11</v>
      </c>
      <c r="C113" s="14">
        <v>54</v>
      </c>
      <c r="D113" s="14" t="s">
        <v>26</v>
      </c>
      <c r="E113" s="14" t="s">
        <v>23</v>
      </c>
      <c r="F113" s="14">
        <v>4</v>
      </c>
      <c r="G113" s="14">
        <v>770</v>
      </c>
      <c r="H113" s="14">
        <v>3080</v>
      </c>
      <c r="I113" s="15">
        <v>45575</v>
      </c>
      <c r="J113" s="14" t="s">
        <v>17</v>
      </c>
      <c r="K113" s="16">
        <f t="shared" si="8"/>
        <v>3080</v>
      </c>
      <c r="L113" s="16" t="str">
        <f t="shared" si="9"/>
        <v>Correct</v>
      </c>
      <c r="M113" s="16" t="str">
        <f t="shared" si="10"/>
        <v>Senior</v>
      </c>
      <c r="N113" s="16" t="str">
        <f t="shared" si="11"/>
        <v>Normal</v>
      </c>
      <c r="O113" s="16" t="str">
        <f t="shared" si="12"/>
        <v>October</v>
      </c>
    </row>
    <row r="114" spans="1:15" x14ac:dyDescent="0.3">
      <c r="A114" s="14" t="s">
        <v>136</v>
      </c>
      <c r="B114" s="14" t="s">
        <v>11</v>
      </c>
      <c r="C114" s="14">
        <v>25</v>
      </c>
      <c r="D114" s="14" t="s">
        <v>16</v>
      </c>
      <c r="E114" s="14" t="s">
        <v>31</v>
      </c>
      <c r="F114" s="14">
        <v>4</v>
      </c>
      <c r="G114" s="14">
        <v>3855</v>
      </c>
      <c r="H114" s="14">
        <v>15420</v>
      </c>
      <c r="I114" s="15">
        <v>45299</v>
      </c>
      <c r="J114" s="14" t="s">
        <v>24</v>
      </c>
      <c r="K114" s="16">
        <f t="shared" si="8"/>
        <v>15420</v>
      </c>
      <c r="L114" s="16" t="str">
        <f t="shared" si="9"/>
        <v>Correct</v>
      </c>
      <c r="M114" s="16" t="str">
        <f t="shared" si="10"/>
        <v>Adult</v>
      </c>
      <c r="N114" s="16" t="str">
        <f t="shared" si="11"/>
        <v>High Value</v>
      </c>
      <c r="O114" s="16" t="str">
        <f t="shared" si="12"/>
        <v>January</v>
      </c>
    </row>
    <row r="115" spans="1:15" x14ac:dyDescent="0.3">
      <c r="A115" s="14" t="s">
        <v>137</v>
      </c>
      <c r="B115" s="14" t="s">
        <v>19</v>
      </c>
      <c r="C115" s="14">
        <v>30</v>
      </c>
      <c r="D115" s="14" t="s">
        <v>26</v>
      </c>
      <c r="E115" s="14" t="s">
        <v>13</v>
      </c>
      <c r="F115" s="14">
        <v>2</v>
      </c>
      <c r="G115" s="14">
        <v>2473</v>
      </c>
      <c r="H115" s="14">
        <v>4946</v>
      </c>
      <c r="I115" s="15">
        <v>45560</v>
      </c>
      <c r="J115" s="14" t="s">
        <v>14</v>
      </c>
      <c r="K115" s="16">
        <f t="shared" si="8"/>
        <v>4946</v>
      </c>
      <c r="L115" s="16" t="str">
        <f t="shared" si="9"/>
        <v>Correct</v>
      </c>
      <c r="M115" s="16" t="str">
        <f t="shared" si="10"/>
        <v>Adult</v>
      </c>
      <c r="N115" s="16" t="str">
        <f t="shared" si="11"/>
        <v>Normal</v>
      </c>
      <c r="O115" s="16" t="str">
        <f t="shared" si="12"/>
        <v>September</v>
      </c>
    </row>
    <row r="116" spans="1:15" x14ac:dyDescent="0.3">
      <c r="A116" s="14" t="s">
        <v>138</v>
      </c>
      <c r="B116" s="14" t="s">
        <v>11</v>
      </c>
      <c r="C116" s="14">
        <v>23</v>
      </c>
      <c r="D116" s="14" t="s">
        <v>12</v>
      </c>
      <c r="E116" s="14" t="s">
        <v>31</v>
      </c>
      <c r="F116" s="14">
        <v>2</v>
      </c>
      <c r="G116" s="14">
        <v>2429</v>
      </c>
      <c r="H116" s="14">
        <v>4858</v>
      </c>
      <c r="I116" s="15">
        <v>45498</v>
      </c>
      <c r="J116" s="14" t="s">
        <v>17</v>
      </c>
      <c r="K116" s="16">
        <f t="shared" si="8"/>
        <v>4858</v>
      </c>
      <c r="L116" s="16" t="str">
        <f t="shared" si="9"/>
        <v>Correct</v>
      </c>
      <c r="M116" s="16" t="str">
        <f t="shared" si="10"/>
        <v>Adult</v>
      </c>
      <c r="N116" s="16" t="str">
        <f t="shared" si="11"/>
        <v>Normal</v>
      </c>
      <c r="O116" s="16" t="str">
        <f t="shared" si="12"/>
        <v>July</v>
      </c>
    </row>
    <row r="117" spans="1:15" x14ac:dyDescent="0.3">
      <c r="A117" s="14" t="s">
        <v>139</v>
      </c>
      <c r="B117" s="14" t="s">
        <v>19</v>
      </c>
      <c r="C117" s="14">
        <v>29</v>
      </c>
      <c r="D117" s="14" t="s">
        <v>12</v>
      </c>
      <c r="E117" s="14" t="s">
        <v>23</v>
      </c>
      <c r="F117" s="14">
        <v>4</v>
      </c>
      <c r="G117" s="14">
        <v>877</v>
      </c>
      <c r="H117" s="14">
        <v>3508</v>
      </c>
      <c r="I117" s="15">
        <v>45634</v>
      </c>
      <c r="J117" s="14" t="s">
        <v>14</v>
      </c>
      <c r="K117" s="16">
        <f t="shared" si="8"/>
        <v>3508</v>
      </c>
      <c r="L117" s="16" t="str">
        <f t="shared" si="9"/>
        <v>Correct</v>
      </c>
      <c r="M117" s="16" t="str">
        <f t="shared" si="10"/>
        <v>Adult</v>
      </c>
      <c r="N117" s="16" t="str">
        <f t="shared" si="11"/>
        <v>Normal</v>
      </c>
      <c r="O117" s="16" t="str">
        <f t="shared" si="12"/>
        <v>December</v>
      </c>
    </row>
    <row r="118" spans="1:15" x14ac:dyDescent="0.3">
      <c r="A118" s="14" t="s">
        <v>140</v>
      </c>
      <c r="B118" s="14" t="s">
        <v>19</v>
      </c>
      <c r="C118" s="14">
        <v>49</v>
      </c>
      <c r="D118" s="14" t="s">
        <v>16</v>
      </c>
      <c r="E118" s="14" t="s">
        <v>23</v>
      </c>
      <c r="F118" s="14">
        <v>4</v>
      </c>
      <c r="G118" s="14">
        <v>3559</v>
      </c>
      <c r="H118" s="14">
        <v>14236</v>
      </c>
      <c r="I118" s="15">
        <v>45442</v>
      </c>
      <c r="J118" s="14" t="s">
        <v>24</v>
      </c>
      <c r="K118" s="16">
        <f t="shared" si="8"/>
        <v>14236</v>
      </c>
      <c r="L118" s="16" t="str">
        <f t="shared" si="9"/>
        <v>Correct</v>
      </c>
      <c r="M118" s="16" t="str">
        <f t="shared" si="10"/>
        <v>Senior</v>
      </c>
      <c r="N118" s="16" t="str">
        <f t="shared" si="11"/>
        <v>High Value</v>
      </c>
      <c r="O118" s="16" t="str">
        <f t="shared" si="12"/>
        <v>May</v>
      </c>
    </row>
    <row r="119" spans="1:15" x14ac:dyDescent="0.3">
      <c r="A119" s="14" t="s">
        <v>141</v>
      </c>
      <c r="B119" s="14" t="s">
        <v>11</v>
      </c>
      <c r="C119" s="14">
        <v>30</v>
      </c>
      <c r="D119" s="14" t="s">
        <v>28</v>
      </c>
      <c r="E119" s="14" t="s">
        <v>23</v>
      </c>
      <c r="F119" s="14">
        <v>2</v>
      </c>
      <c r="G119" s="14">
        <v>3853</v>
      </c>
      <c r="H119" s="14">
        <v>7706</v>
      </c>
      <c r="I119" s="15">
        <v>45566</v>
      </c>
      <c r="J119" s="14" t="s">
        <v>24</v>
      </c>
      <c r="K119" s="16">
        <f t="shared" si="8"/>
        <v>7706</v>
      </c>
      <c r="L119" s="16" t="str">
        <f t="shared" si="9"/>
        <v>Correct</v>
      </c>
      <c r="M119" s="16" t="str">
        <f t="shared" si="10"/>
        <v>Adult</v>
      </c>
      <c r="N119" s="16" t="str">
        <f t="shared" si="11"/>
        <v>Normal</v>
      </c>
      <c r="O119" s="16" t="str">
        <f t="shared" si="12"/>
        <v>October</v>
      </c>
    </row>
    <row r="120" spans="1:15" x14ac:dyDescent="0.3">
      <c r="A120" s="14" t="s">
        <v>142</v>
      </c>
      <c r="B120" s="14" t="s">
        <v>11</v>
      </c>
      <c r="C120" s="14">
        <v>30</v>
      </c>
      <c r="D120" s="14" t="s">
        <v>16</v>
      </c>
      <c r="E120" s="14" t="s">
        <v>31</v>
      </c>
      <c r="F120" s="14">
        <v>5</v>
      </c>
      <c r="G120" s="14">
        <v>3907</v>
      </c>
      <c r="H120" s="14">
        <v>19535</v>
      </c>
      <c r="I120" s="15">
        <v>45545</v>
      </c>
      <c r="J120" s="14" t="s">
        <v>14</v>
      </c>
      <c r="K120" s="16">
        <f t="shared" si="8"/>
        <v>19535</v>
      </c>
      <c r="L120" s="16" t="str">
        <f t="shared" si="9"/>
        <v>Correct</v>
      </c>
      <c r="M120" s="16" t="str">
        <f t="shared" si="10"/>
        <v>Adult</v>
      </c>
      <c r="N120" s="16" t="str">
        <f t="shared" si="11"/>
        <v>High Value</v>
      </c>
      <c r="O120" s="16" t="str">
        <f t="shared" si="12"/>
        <v>September</v>
      </c>
    </row>
    <row r="121" spans="1:15" x14ac:dyDescent="0.3">
      <c r="A121" s="14" t="s">
        <v>143</v>
      </c>
      <c r="B121" s="14" t="s">
        <v>19</v>
      </c>
      <c r="C121" s="14">
        <v>35</v>
      </c>
      <c r="D121" s="14" t="s">
        <v>28</v>
      </c>
      <c r="E121" s="14" t="s">
        <v>20</v>
      </c>
      <c r="F121" s="14">
        <v>5</v>
      </c>
      <c r="G121" s="14">
        <v>4759</v>
      </c>
      <c r="H121" s="14">
        <v>23795</v>
      </c>
      <c r="I121" s="15">
        <v>45368</v>
      </c>
      <c r="J121" s="14" t="s">
        <v>24</v>
      </c>
      <c r="K121" s="16">
        <f t="shared" si="8"/>
        <v>23795</v>
      </c>
      <c r="L121" s="16" t="str">
        <f t="shared" si="9"/>
        <v>Correct</v>
      </c>
      <c r="M121" s="16" t="str">
        <f t="shared" si="10"/>
        <v>Adult</v>
      </c>
      <c r="N121" s="16" t="str">
        <f t="shared" si="11"/>
        <v>High Value</v>
      </c>
      <c r="O121" s="16" t="str">
        <f t="shared" si="12"/>
        <v>March</v>
      </c>
    </row>
    <row r="122" spans="1:15" x14ac:dyDescent="0.3">
      <c r="A122" s="14" t="s">
        <v>144</v>
      </c>
      <c r="B122" s="14" t="s">
        <v>19</v>
      </c>
      <c r="C122" s="14">
        <v>49</v>
      </c>
      <c r="D122" s="14" t="s">
        <v>26</v>
      </c>
      <c r="E122" s="14" t="s">
        <v>31</v>
      </c>
      <c r="F122" s="14">
        <v>2</v>
      </c>
      <c r="G122" s="14">
        <v>3933</v>
      </c>
      <c r="H122" s="14">
        <v>7866</v>
      </c>
      <c r="I122" s="15">
        <v>45596</v>
      </c>
      <c r="J122" s="14" t="s">
        <v>24</v>
      </c>
      <c r="K122" s="16">
        <f t="shared" si="8"/>
        <v>7866</v>
      </c>
      <c r="L122" s="16" t="str">
        <f t="shared" si="9"/>
        <v>Correct</v>
      </c>
      <c r="M122" s="16" t="str">
        <f t="shared" si="10"/>
        <v>Senior</v>
      </c>
      <c r="N122" s="16" t="str">
        <f t="shared" si="11"/>
        <v>Normal</v>
      </c>
      <c r="O122" s="16" t="str">
        <f t="shared" si="12"/>
        <v>October</v>
      </c>
    </row>
    <row r="123" spans="1:15" x14ac:dyDescent="0.3">
      <c r="A123" s="14" t="s">
        <v>145</v>
      </c>
      <c r="B123" s="14" t="s">
        <v>19</v>
      </c>
      <c r="C123" s="14">
        <v>37</v>
      </c>
      <c r="D123" s="14" t="s">
        <v>28</v>
      </c>
      <c r="E123" s="14" t="s">
        <v>31</v>
      </c>
      <c r="F123" s="14">
        <v>5</v>
      </c>
      <c r="G123" s="14">
        <v>4313</v>
      </c>
      <c r="H123" s="14">
        <v>21565</v>
      </c>
      <c r="I123" s="15">
        <v>45558</v>
      </c>
      <c r="J123" s="14" t="s">
        <v>21</v>
      </c>
      <c r="K123" s="16">
        <f t="shared" si="8"/>
        <v>21565</v>
      </c>
      <c r="L123" s="16" t="str">
        <f t="shared" si="9"/>
        <v>Correct</v>
      </c>
      <c r="M123" s="16" t="str">
        <f t="shared" si="10"/>
        <v>Adult</v>
      </c>
      <c r="N123" s="16" t="str">
        <f t="shared" si="11"/>
        <v>High Value</v>
      </c>
      <c r="O123" s="16" t="str">
        <f t="shared" si="12"/>
        <v>September</v>
      </c>
    </row>
    <row r="124" spans="1:15" x14ac:dyDescent="0.3">
      <c r="A124" s="14" t="s">
        <v>146</v>
      </c>
      <c r="B124" s="14" t="s">
        <v>11</v>
      </c>
      <c r="C124" s="14">
        <v>42</v>
      </c>
      <c r="D124" s="14" t="s">
        <v>16</v>
      </c>
      <c r="E124" s="14" t="s">
        <v>23</v>
      </c>
      <c r="F124" s="14">
        <v>3</v>
      </c>
      <c r="G124" s="14">
        <v>1144</v>
      </c>
      <c r="H124" s="14">
        <v>3432</v>
      </c>
      <c r="I124" s="15">
        <v>45592</v>
      </c>
      <c r="J124" s="14" t="s">
        <v>14</v>
      </c>
      <c r="K124" s="16">
        <f t="shared" si="8"/>
        <v>3432</v>
      </c>
      <c r="L124" s="16" t="str">
        <f t="shared" si="9"/>
        <v>Correct</v>
      </c>
      <c r="M124" s="16" t="str">
        <f t="shared" si="10"/>
        <v>Senior</v>
      </c>
      <c r="N124" s="16" t="str">
        <f t="shared" si="11"/>
        <v>Normal</v>
      </c>
      <c r="O124" s="16" t="str">
        <f t="shared" si="12"/>
        <v>October</v>
      </c>
    </row>
    <row r="125" spans="1:15" x14ac:dyDescent="0.3">
      <c r="A125" s="14" t="s">
        <v>147</v>
      </c>
      <c r="B125" s="14" t="s">
        <v>11</v>
      </c>
      <c r="C125" s="14">
        <v>38</v>
      </c>
      <c r="D125" s="14" t="s">
        <v>28</v>
      </c>
      <c r="E125" s="14" t="s">
        <v>13</v>
      </c>
      <c r="F125" s="14">
        <v>3</v>
      </c>
      <c r="G125" s="14">
        <v>1218</v>
      </c>
      <c r="H125" s="14">
        <v>3654</v>
      </c>
      <c r="I125" s="15">
        <v>45338</v>
      </c>
      <c r="J125" s="14" t="s">
        <v>17</v>
      </c>
      <c r="K125" s="16">
        <f t="shared" si="8"/>
        <v>3654</v>
      </c>
      <c r="L125" s="16" t="str">
        <f t="shared" si="9"/>
        <v>Correct</v>
      </c>
      <c r="M125" s="16" t="str">
        <f t="shared" si="10"/>
        <v>Adult</v>
      </c>
      <c r="N125" s="16" t="str">
        <f t="shared" si="11"/>
        <v>Normal</v>
      </c>
      <c r="O125" s="16" t="str">
        <f t="shared" si="12"/>
        <v>February</v>
      </c>
    </row>
    <row r="126" spans="1:15" x14ac:dyDescent="0.3">
      <c r="A126" s="14" t="s">
        <v>148</v>
      </c>
      <c r="B126" s="14" t="s">
        <v>11</v>
      </c>
      <c r="C126" s="14">
        <v>49</v>
      </c>
      <c r="D126" s="14" t="s">
        <v>26</v>
      </c>
      <c r="E126" s="14" t="s">
        <v>23</v>
      </c>
      <c r="F126" s="14">
        <v>3</v>
      </c>
      <c r="G126" s="14">
        <v>1260</v>
      </c>
      <c r="H126" s="14">
        <v>3780</v>
      </c>
      <c r="I126" s="15">
        <v>45622</v>
      </c>
      <c r="J126" s="14" t="s">
        <v>21</v>
      </c>
      <c r="K126" s="16">
        <f t="shared" si="8"/>
        <v>3780</v>
      </c>
      <c r="L126" s="16" t="str">
        <f t="shared" si="9"/>
        <v>Correct</v>
      </c>
      <c r="M126" s="16" t="str">
        <f t="shared" si="10"/>
        <v>Senior</v>
      </c>
      <c r="N126" s="16" t="str">
        <f t="shared" si="11"/>
        <v>Normal</v>
      </c>
      <c r="O126" s="16" t="str">
        <f t="shared" si="12"/>
        <v>November</v>
      </c>
    </row>
    <row r="127" spans="1:15" x14ac:dyDescent="0.3">
      <c r="A127" s="14" t="s">
        <v>149</v>
      </c>
      <c r="B127" s="14" t="s">
        <v>11</v>
      </c>
      <c r="C127" s="14">
        <v>19</v>
      </c>
      <c r="D127" s="14" t="s">
        <v>16</v>
      </c>
      <c r="E127" s="14" t="s">
        <v>23</v>
      </c>
      <c r="F127" s="14">
        <v>3</v>
      </c>
      <c r="G127" s="14">
        <v>2428</v>
      </c>
      <c r="H127" s="14">
        <v>7284</v>
      </c>
      <c r="I127" s="15">
        <v>45294</v>
      </c>
      <c r="J127" s="14" t="s">
        <v>17</v>
      </c>
      <c r="K127" s="16">
        <f t="shared" si="8"/>
        <v>7284</v>
      </c>
      <c r="L127" s="16" t="str">
        <f t="shared" si="9"/>
        <v>Correct</v>
      </c>
      <c r="M127" s="16" t="str">
        <f t="shared" si="10"/>
        <v>Teen</v>
      </c>
      <c r="N127" s="16" t="str">
        <f t="shared" si="11"/>
        <v>Normal</v>
      </c>
      <c r="O127" s="16" t="str">
        <f t="shared" si="12"/>
        <v>January</v>
      </c>
    </row>
    <row r="128" spans="1:15" x14ac:dyDescent="0.3">
      <c r="A128" s="14" t="s">
        <v>150</v>
      </c>
      <c r="B128" s="14" t="s">
        <v>19</v>
      </c>
      <c r="C128" s="14">
        <v>56</v>
      </c>
      <c r="D128" s="14" t="s">
        <v>12</v>
      </c>
      <c r="E128" s="14" t="s">
        <v>23</v>
      </c>
      <c r="F128" s="14">
        <v>5</v>
      </c>
      <c r="G128" s="14">
        <v>3315</v>
      </c>
      <c r="H128" s="14">
        <v>16575</v>
      </c>
      <c r="I128" s="15">
        <v>45645</v>
      </c>
      <c r="J128" s="14" t="s">
        <v>14</v>
      </c>
      <c r="K128" s="16">
        <f t="shared" si="8"/>
        <v>16575</v>
      </c>
      <c r="L128" s="16" t="str">
        <f t="shared" si="9"/>
        <v>Correct</v>
      </c>
      <c r="M128" s="16" t="str">
        <f t="shared" si="10"/>
        <v>Senior</v>
      </c>
      <c r="N128" s="16" t="str">
        <f t="shared" si="11"/>
        <v>High Value</v>
      </c>
      <c r="O128" s="16" t="str">
        <f t="shared" si="12"/>
        <v>December</v>
      </c>
    </row>
    <row r="129" spans="1:15" x14ac:dyDescent="0.3">
      <c r="A129" s="14" t="s">
        <v>151</v>
      </c>
      <c r="B129" s="14" t="s">
        <v>11</v>
      </c>
      <c r="C129" s="14">
        <v>40</v>
      </c>
      <c r="D129" s="14" t="s">
        <v>28</v>
      </c>
      <c r="E129" s="14" t="s">
        <v>23</v>
      </c>
      <c r="F129" s="14">
        <v>2</v>
      </c>
      <c r="G129" s="14">
        <v>965</v>
      </c>
      <c r="H129" s="14">
        <v>1930</v>
      </c>
      <c r="I129" s="15">
        <v>45556</v>
      </c>
      <c r="J129" s="14" t="s">
        <v>17</v>
      </c>
      <c r="K129" s="16">
        <f t="shared" si="8"/>
        <v>1930</v>
      </c>
      <c r="L129" s="16" t="str">
        <f t="shared" si="9"/>
        <v>Correct</v>
      </c>
      <c r="M129" s="16" t="str">
        <f t="shared" si="10"/>
        <v>Adult</v>
      </c>
      <c r="N129" s="16" t="str">
        <f t="shared" si="11"/>
        <v>Normal</v>
      </c>
      <c r="O129" s="16" t="str">
        <f t="shared" si="12"/>
        <v>September</v>
      </c>
    </row>
    <row r="130" spans="1:15" x14ac:dyDescent="0.3">
      <c r="A130" s="14" t="s">
        <v>152</v>
      </c>
      <c r="B130" s="14" t="s">
        <v>11</v>
      </c>
      <c r="C130" s="14">
        <v>51</v>
      </c>
      <c r="D130" s="14" t="s">
        <v>26</v>
      </c>
      <c r="E130" s="14" t="s">
        <v>23</v>
      </c>
      <c r="F130" s="14">
        <v>2</v>
      </c>
      <c r="G130" s="14">
        <v>1298</v>
      </c>
      <c r="H130" s="14">
        <v>2596</v>
      </c>
      <c r="I130" s="15">
        <v>45443</v>
      </c>
      <c r="J130" s="14" t="s">
        <v>14</v>
      </c>
      <c r="K130" s="16">
        <f t="shared" si="8"/>
        <v>2596</v>
      </c>
      <c r="L130" s="16" t="str">
        <f t="shared" si="9"/>
        <v>Correct</v>
      </c>
      <c r="M130" s="16" t="str">
        <f t="shared" si="10"/>
        <v>Senior</v>
      </c>
      <c r="N130" s="16" t="str">
        <f t="shared" si="11"/>
        <v>Normal</v>
      </c>
      <c r="O130" s="16" t="str">
        <f t="shared" ref="O130:O161" si="13">TEXT(I130,"mmmm")</f>
        <v>May</v>
      </c>
    </row>
    <row r="131" spans="1:15" x14ac:dyDescent="0.3">
      <c r="A131" s="14" t="s">
        <v>153</v>
      </c>
      <c r="B131" s="14" t="s">
        <v>19</v>
      </c>
      <c r="C131" s="14">
        <v>40</v>
      </c>
      <c r="D131" s="14" t="s">
        <v>16</v>
      </c>
      <c r="E131" s="14" t="s">
        <v>13</v>
      </c>
      <c r="F131" s="14">
        <v>5</v>
      </c>
      <c r="G131" s="14">
        <v>2229</v>
      </c>
      <c r="H131" s="14">
        <v>11145</v>
      </c>
      <c r="I131" s="15">
        <v>45456</v>
      </c>
      <c r="J131" s="14" t="s">
        <v>17</v>
      </c>
      <c r="K131" s="16">
        <f t="shared" ref="K131:K194" si="14">F131*G131</f>
        <v>11145</v>
      </c>
      <c r="L131" s="16" t="str">
        <f t="shared" ref="L131:L194" si="15">IF(H131=K131,"Correct","Mismatch")</f>
        <v>Correct</v>
      </c>
      <c r="M131" s="16" t="str">
        <f t="shared" ref="M131:M194" si="16">IF(C131&lt;20,"Teen",IF(C131&lt;=40,"Adult","Senior"))</f>
        <v>Adult</v>
      </c>
      <c r="N131" s="16" t="str">
        <f t="shared" ref="N131:N194" si="17">IF(H131&gt;10000,"High Value","Normal")</f>
        <v>High Value</v>
      </c>
      <c r="O131" s="16" t="str">
        <f t="shared" si="13"/>
        <v>June</v>
      </c>
    </row>
    <row r="132" spans="1:15" x14ac:dyDescent="0.3">
      <c r="A132" s="14" t="s">
        <v>154</v>
      </c>
      <c r="B132" s="14" t="s">
        <v>11</v>
      </c>
      <c r="C132" s="14">
        <v>37</v>
      </c>
      <c r="D132" s="14" t="s">
        <v>16</v>
      </c>
      <c r="E132" s="14" t="s">
        <v>13</v>
      </c>
      <c r="F132" s="14">
        <v>5</v>
      </c>
      <c r="G132" s="14">
        <v>3922</v>
      </c>
      <c r="H132" s="14">
        <v>19610</v>
      </c>
      <c r="I132" s="15">
        <v>45347</v>
      </c>
      <c r="J132" s="14" t="s">
        <v>21</v>
      </c>
      <c r="K132" s="16">
        <f t="shared" si="14"/>
        <v>19610</v>
      </c>
      <c r="L132" s="16" t="str">
        <f t="shared" si="15"/>
        <v>Correct</v>
      </c>
      <c r="M132" s="16" t="str">
        <f t="shared" si="16"/>
        <v>Adult</v>
      </c>
      <c r="N132" s="16" t="str">
        <f t="shared" si="17"/>
        <v>High Value</v>
      </c>
      <c r="O132" s="16" t="str">
        <f t="shared" si="13"/>
        <v>February</v>
      </c>
    </row>
    <row r="133" spans="1:15" x14ac:dyDescent="0.3">
      <c r="A133" s="14" t="s">
        <v>155</v>
      </c>
      <c r="B133" s="14" t="s">
        <v>19</v>
      </c>
      <c r="C133" s="14">
        <v>35</v>
      </c>
      <c r="D133" s="14" t="s">
        <v>28</v>
      </c>
      <c r="E133" s="14" t="s">
        <v>13</v>
      </c>
      <c r="F133" s="14">
        <v>3</v>
      </c>
      <c r="G133" s="14">
        <v>820</v>
      </c>
      <c r="H133" s="14">
        <v>2460</v>
      </c>
      <c r="I133" s="15">
        <v>45623</v>
      </c>
      <c r="J133" s="14" t="s">
        <v>14</v>
      </c>
      <c r="K133" s="16">
        <f t="shared" si="14"/>
        <v>2460</v>
      </c>
      <c r="L133" s="16" t="str">
        <f t="shared" si="15"/>
        <v>Correct</v>
      </c>
      <c r="M133" s="16" t="str">
        <f t="shared" si="16"/>
        <v>Adult</v>
      </c>
      <c r="N133" s="16" t="str">
        <f t="shared" si="17"/>
        <v>Normal</v>
      </c>
      <c r="O133" s="16" t="str">
        <f t="shared" si="13"/>
        <v>November</v>
      </c>
    </row>
    <row r="134" spans="1:15" x14ac:dyDescent="0.3">
      <c r="A134" s="14" t="s">
        <v>156</v>
      </c>
      <c r="B134" s="14" t="s">
        <v>19</v>
      </c>
      <c r="C134" s="14">
        <v>45</v>
      </c>
      <c r="D134" s="14" t="s">
        <v>12</v>
      </c>
      <c r="E134" s="14" t="s">
        <v>13</v>
      </c>
      <c r="F134" s="14">
        <v>5</v>
      </c>
      <c r="G134" s="14">
        <v>3745</v>
      </c>
      <c r="H134" s="14">
        <v>18725</v>
      </c>
      <c r="I134" s="15">
        <v>45367</v>
      </c>
      <c r="J134" s="14" t="s">
        <v>17</v>
      </c>
      <c r="K134" s="16">
        <f t="shared" si="14"/>
        <v>18725</v>
      </c>
      <c r="L134" s="16" t="str">
        <f t="shared" si="15"/>
        <v>Correct</v>
      </c>
      <c r="M134" s="16" t="str">
        <f t="shared" si="16"/>
        <v>Senior</v>
      </c>
      <c r="N134" s="16" t="str">
        <f t="shared" si="17"/>
        <v>High Value</v>
      </c>
      <c r="O134" s="16" t="str">
        <f t="shared" si="13"/>
        <v>March</v>
      </c>
    </row>
    <row r="135" spans="1:15" x14ac:dyDescent="0.3">
      <c r="A135" s="14" t="s">
        <v>157</v>
      </c>
      <c r="B135" s="14" t="s">
        <v>11</v>
      </c>
      <c r="C135" s="14">
        <v>55</v>
      </c>
      <c r="D135" s="14" t="s">
        <v>26</v>
      </c>
      <c r="E135" s="14" t="s">
        <v>23</v>
      </c>
      <c r="F135" s="14">
        <v>1</v>
      </c>
      <c r="G135" s="14">
        <v>2569</v>
      </c>
      <c r="H135" s="14">
        <v>2569</v>
      </c>
      <c r="I135" s="15">
        <v>45343</v>
      </c>
      <c r="J135" s="14" t="s">
        <v>14</v>
      </c>
      <c r="K135" s="16">
        <f t="shared" si="14"/>
        <v>2569</v>
      </c>
      <c r="L135" s="16" t="str">
        <f t="shared" si="15"/>
        <v>Correct</v>
      </c>
      <c r="M135" s="16" t="str">
        <f t="shared" si="16"/>
        <v>Senior</v>
      </c>
      <c r="N135" s="16" t="str">
        <f t="shared" si="17"/>
        <v>Normal</v>
      </c>
      <c r="O135" s="16" t="str">
        <f t="shared" si="13"/>
        <v>February</v>
      </c>
    </row>
    <row r="136" spans="1:15" x14ac:dyDescent="0.3">
      <c r="A136" s="14" t="s">
        <v>158</v>
      </c>
      <c r="B136" s="14" t="s">
        <v>19</v>
      </c>
      <c r="C136" s="14">
        <v>21</v>
      </c>
      <c r="D136" s="14" t="s">
        <v>16</v>
      </c>
      <c r="E136" s="14" t="s">
        <v>13</v>
      </c>
      <c r="F136" s="14">
        <v>3</v>
      </c>
      <c r="G136" s="14">
        <v>4975</v>
      </c>
      <c r="H136" s="14">
        <v>14925</v>
      </c>
      <c r="I136" s="15">
        <v>45532</v>
      </c>
      <c r="J136" s="14" t="s">
        <v>17</v>
      </c>
      <c r="K136" s="16">
        <f t="shared" si="14"/>
        <v>14925</v>
      </c>
      <c r="L136" s="16" t="str">
        <f t="shared" si="15"/>
        <v>Correct</v>
      </c>
      <c r="M136" s="16" t="str">
        <f t="shared" si="16"/>
        <v>Adult</v>
      </c>
      <c r="N136" s="16" t="str">
        <f t="shared" si="17"/>
        <v>High Value</v>
      </c>
      <c r="O136" s="16" t="str">
        <f t="shared" si="13"/>
        <v>August</v>
      </c>
    </row>
    <row r="137" spans="1:15" x14ac:dyDescent="0.3">
      <c r="A137" s="14" t="s">
        <v>159</v>
      </c>
      <c r="B137" s="14" t="s">
        <v>19</v>
      </c>
      <c r="C137" s="14">
        <v>40</v>
      </c>
      <c r="D137" s="14" t="s">
        <v>28</v>
      </c>
      <c r="E137" s="14" t="s">
        <v>31</v>
      </c>
      <c r="F137" s="14">
        <v>3</v>
      </c>
      <c r="G137" s="14">
        <v>2881</v>
      </c>
      <c r="H137" s="14">
        <v>8643</v>
      </c>
      <c r="I137" s="15">
        <v>45615</v>
      </c>
      <c r="J137" s="14" t="s">
        <v>14</v>
      </c>
      <c r="K137" s="16">
        <f t="shared" si="14"/>
        <v>8643</v>
      </c>
      <c r="L137" s="16" t="str">
        <f t="shared" si="15"/>
        <v>Correct</v>
      </c>
      <c r="M137" s="16" t="str">
        <f t="shared" si="16"/>
        <v>Adult</v>
      </c>
      <c r="N137" s="16" t="str">
        <f t="shared" si="17"/>
        <v>Normal</v>
      </c>
      <c r="O137" s="16" t="str">
        <f t="shared" si="13"/>
        <v>November</v>
      </c>
    </row>
    <row r="138" spans="1:15" x14ac:dyDescent="0.3">
      <c r="A138" s="14" t="s">
        <v>160</v>
      </c>
      <c r="B138" s="14" t="s">
        <v>11</v>
      </c>
      <c r="C138" s="14">
        <v>47</v>
      </c>
      <c r="D138" s="14" t="s">
        <v>26</v>
      </c>
      <c r="E138" s="14" t="s">
        <v>13</v>
      </c>
      <c r="F138" s="14">
        <v>1</v>
      </c>
      <c r="G138" s="14">
        <v>4060</v>
      </c>
      <c r="H138" s="14">
        <v>4060</v>
      </c>
      <c r="I138" s="15">
        <v>45541</v>
      </c>
      <c r="J138" s="14" t="s">
        <v>21</v>
      </c>
      <c r="K138" s="16">
        <f t="shared" si="14"/>
        <v>4060</v>
      </c>
      <c r="L138" s="16" t="str">
        <f t="shared" si="15"/>
        <v>Correct</v>
      </c>
      <c r="M138" s="16" t="str">
        <f t="shared" si="16"/>
        <v>Senior</v>
      </c>
      <c r="N138" s="16" t="str">
        <f t="shared" si="17"/>
        <v>Normal</v>
      </c>
      <c r="O138" s="16" t="str">
        <f t="shared" si="13"/>
        <v>September</v>
      </c>
    </row>
    <row r="139" spans="1:15" x14ac:dyDescent="0.3">
      <c r="A139" s="14" t="s">
        <v>161</v>
      </c>
      <c r="B139" s="14" t="s">
        <v>19</v>
      </c>
      <c r="C139" s="14">
        <v>21</v>
      </c>
      <c r="D139" s="14" t="s">
        <v>26</v>
      </c>
      <c r="E139" s="14" t="s">
        <v>23</v>
      </c>
      <c r="F139" s="14">
        <v>5</v>
      </c>
      <c r="G139" s="14">
        <v>1453</v>
      </c>
      <c r="H139" s="14">
        <v>7265</v>
      </c>
      <c r="I139" s="15">
        <v>45482</v>
      </c>
      <c r="J139" s="14" t="s">
        <v>14</v>
      </c>
      <c r="K139" s="16">
        <f t="shared" si="14"/>
        <v>7265</v>
      </c>
      <c r="L139" s="16" t="str">
        <f t="shared" si="15"/>
        <v>Correct</v>
      </c>
      <c r="M139" s="16" t="str">
        <f t="shared" si="16"/>
        <v>Adult</v>
      </c>
      <c r="N139" s="16" t="str">
        <f t="shared" si="17"/>
        <v>Normal</v>
      </c>
      <c r="O139" s="16" t="str">
        <f t="shared" si="13"/>
        <v>July</v>
      </c>
    </row>
    <row r="140" spans="1:15" x14ac:dyDescent="0.3">
      <c r="A140" s="14" t="s">
        <v>162</v>
      </c>
      <c r="B140" s="14" t="s">
        <v>19</v>
      </c>
      <c r="C140" s="14">
        <v>33</v>
      </c>
      <c r="D140" s="14" t="s">
        <v>28</v>
      </c>
      <c r="E140" s="14" t="s">
        <v>13</v>
      </c>
      <c r="F140" s="14">
        <v>4</v>
      </c>
      <c r="G140" s="14">
        <v>4311</v>
      </c>
      <c r="H140" s="14">
        <v>17244</v>
      </c>
      <c r="I140" s="15">
        <v>45342</v>
      </c>
      <c r="J140" s="14" t="s">
        <v>14</v>
      </c>
      <c r="K140" s="16">
        <f t="shared" si="14"/>
        <v>17244</v>
      </c>
      <c r="L140" s="16" t="str">
        <f t="shared" si="15"/>
        <v>Correct</v>
      </c>
      <c r="M140" s="16" t="str">
        <f t="shared" si="16"/>
        <v>Adult</v>
      </c>
      <c r="N140" s="16" t="str">
        <f t="shared" si="17"/>
        <v>High Value</v>
      </c>
      <c r="O140" s="16" t="str">
        <f t="shared" si="13"/>
        <v>February</v>
      </c>
    </row>
    <row r="141" spans="1:15" x14ac:dyDescent="0.3">
      <c r="A141" s="14" t="s">
        <v>163</v>
      </c>
      <c r="B141" s="14" t="s">
        <v>19</v>
      </c>
      <c r="C141" s="14">
        <v>31</v>
      </c>
      <c r="D141" s="14" t="s">
        <v>12</v>
      </c>
      <c r="E141" s="14" t="s">
        <v>23</v>
      </c>
      <c r="F141" s="14">
        <v>1</v>
      </c>
      <c r="G141" s="14">
        <v>3236</v>
      </c>
      <c r="H141" s="14">
        <v>3236</v>
      </c>
      <c r="I141" s="15">
        <v>45451</v>
      </c>
      <c r="J141" s="14" t="s">
        <v>14</v>
      </c>
      <c r="K141" s="16">
        <f t="shared" si="14"/>
        <v>3236</v>
      </c>
      <c r="L141" s="16" t="str">
        <f t="shared" si="15"/>
        <v>Correct</v>
      </c>
      <c r="M141" s="16" t="str">
        <f t="shared" si="16"/>
        <v>Adult</v>
      </c>
      <c r="N141" s="16" t="str">
        <f t="shared" si="17"/>
        <v>Normal</v>
      </c>
      <c r="O141" s="16" t="str">
        <f t="shared" si="13"/>
        <v>June</v>
      </c>
    </row>
    <row r="142" spans="1:15" x14ac:dyDescent="0.3">
      <c r="A142" s="14" t="s">
        <v>164</v>
      </c>
      <c r="B142" s="14" t="s">
        <v>11</v>
      </c>
      <c r="C142" s="14">
        <v>51</v>
      </c>
      <c r="D142" s="14" t="s">
        <v>16</v>
      </c>
      <c r="E142" s="14" t="s">
        <v>13</v>
      </c>
      <c r="F142" s="14">
        <v>1</v>
      </c>
      <c r="G142" s="14">
        <v>2158</v>
      </c>
      <c r="H142" s="14">
        <v>2158</v>
      </c>
      <c r="I142" s="15">
        <v>45522</v>
      </c>
      <c r="J142" s="14" t="s">
        <v>14</v>
      </c>
      <c r="K142" s="16">
        <f t="shared" si="14"/>
        <v>2158</v>
      </c>
      <c r="L142" s="16" t="str">
        <f t="shared" si="15"/>
        <v>Correct</v>
      </c>
      <c r="M142" s="16" t="str">
        <f t="shared" si="16"/>
        <v>Senior</v>
      </c>
      <c r="N142" s="16" t="str">
        <f t="shared" si="17"/>
        <v>Normal</v>
      </c>
      <c r="O142" s="16" t="str">
        <f t="shared" si="13"/>
        <v>August</v>
      </c>
    </row>
    <row r="143" spans="1:15" x14ac:dyDescent="0.3">
      <c r="A143" s="14" t="s">
        <v>165</v>
      </c>
      <c r="B143" s="14" t="s">
        <v>11</v>
      </c>
      <c r="C143" s="14">
        <v>53</v>
      </c>
      <c r="D143" s="14" t="s">
        <v>28</v>
      </c>
      <c r="E143" s="14" t="s">
        <v>31</v>
      </c>
      <c r="F143" s="14">
        <v>1</v>
      </c>
      <c r="G143" s="14">
        <v>3842</v>
      </c>
      <c r="H143" s="14">
        <v>3842</v>
      </c>
      <c r="I143" s="15">
        <v>45470</v>
      </c>
      <c r="J143" s="14" t="s">
        <v>21</v>
      </c>
      <c r="K143" s="16">
        <f t="shared" si="14"/>
        <v>3842</v>
      </c>
      <c r="L143" s="16" t="str">
        <f t="shared" si="15"/>
        <v>Correct</v>
      </c>
      <c r="M143" s="16" t="str">
        <f t="shared" si="16"/>
        <v>Senior</v>
      </c>
      <c r="N143" s="16" t="str">
        <f t="shared" si="17"/>
        <v>Normal</v>
      </c>
      <c r="O143" s="16" t="str">
        <f t="shared" si="13"/>
        <v>June</v>
      </c>
    </row>
    <row r="144" spans="1:15" x14ac:dyDescent="0.3">
      <c r="A144" s="14" t="s">
        <v>166</v>
      </c>
      <c r="B144" s="14" t="s">
        <v>11</v>
      </c>
      <c r="C144" s="14">
        <v>34</v>
      </c>
      <c r="D144" s="14" t="s">
        <v>16</v>
      </c>
      <c r="E144" s="14" t="s">
        <v>23</v>
      </c>
      <c r="F144" s="14">
        <v>5</v>
      </c>
      <c r="G144" s="14">
        <v>517</v>
      </c>
      <c r="H144" s="14">
        <v>2585</v>
      </c>
      <c r="I144" s="15">
        <v>45339</v>
      </c>
      <c r="J144" s="14" t="s">
        <v>24</v>
      </c>
      <c r="K144" s="16">
        <f t="shared" si="14"/>
        <v>2585</v>
      </c>
      <c r="L144" s="16" t="str">
        <f t="shared" si="15"/>
        <v>Correct</v>
      </c>
      <c r="M144" s="16" t="str">
        <f t="shared" si="16"/>
        <v>Adult</v>
      </c>
      <c r="N144" s="16" t="str">
        <f t="shared" si="17"/>
        <v>Normal</v>
      </c>
      <c r="O144" s="16" t="str">
        <f t="shared" si="13"/>
        <v>February</v>
      </c>
    </row>
    <row r="145" spans="1:15" x14ac:dyDescent="0.3">
      <c r="A145" s="14" t="s">
        <v>167</v>
      </c>
      <c r="B145" s="14" t="s">
        <v>19</v>
      </c>
      <c r="C145" s="14">
        <v>49</v>
      </c>
      <c r="D145" s="14" t="s">
        <v>26</v>
      </c>
      <c r="E145" s="14" t="s">
        <v>31</v>
      </c>
      <c r="F145" s="14">
        <v>1</v>
      </c>
      <c r="G145" s="14">
        <v>3657</v>
      </c>
      <c r="H145" s="14">
        <v>3657</v>
      </c>
      <c r="I145" s="15">
        <v>45601</v>
      </c>
      <c r="J145" s="14" t="s">
        <v>21</v>
      </c>
      <c r="K145" s="16">
        <f t="shared" si="14"/>
        <v>3657</v>
      </c>
      <c r="L145" s="16" t="str">
        <f t="shared" si="15"/>
        <v>Correct</v>
      </c>
      <c r="M145" s="16" t="str">
        <f t="shared" si="16"/>
        <v>Senior</v>
      </c>
      <c r="N145" s="16" t="str">
        <f t="shared" si="17"/>
        <v>Normal</v>
      </c>
      <c r="O145" s="16" t="str">
        <f t="shared" si="13"/>
        <v>November</v>
      </c>
    </row>
    <row r="146" spans="1:15" x14ac:dyDescent="0.3">
      <c r="A146" s="14" t="s">
        <v>168</v>
      </c>
      <c r="B146" s="14" t="s">
        <v>11</v>
      </c>
      <c r="C146" s="14">
        <v>30</v>
      </c>
      <c r="D146" s="14" t="s">
        <v>12</v>
      </c>
      <c r="E146" s="14" t="s">
        <v>20</v>
      </c>
      <c r="F146" s="14">
        <v>5</v>
      </c>
      <c r="G146" s="14">
        <v>1306</v>
      </c>
      <c r="H146" s="14">
        <v>6530</v>
      </c>
      <c r="I146" s="15">
        <v>45399</v>
      </c>
      <c r="J146" s="14" t="s">
        <v>14</v>
      </c>
      <c r="K146" s="16">
        <f t="shared" si="14"/>
        <v>6530</v>
      </c>
      <c r="L146" s="16" t="str">
        <f t="shared" si="15"/>
        <v>Correct</v>
      </c>
      <c r="M146" s="16" t="str">
        <f t="shared" si="16"/>
        <v>Adult</v>
      </c>
      <c r="N146" s="16" t="str">
        <f t="shared" si="17"/>
        <v>Normal</v>
      </c>
      <c r="O146" s="16" t="str">
        <f t="shared" si="13"/>
        <v>April</v>
      </c>
    </row>
    <row r="147" spans="1:15" x14ac:dyDescent="0.3">
      <c r="A147" s="14" t="s">
        <v>169</v>
      </c>
      <c r="B147" s="14" t="s">
        <v>19</v>
      </c>
      <c r="C147" s="14">
        <v>29</v>
      </c>
      <c r="D147" s="14" t="s">
        <v>28</v>
      </c>
      <c r="E147" s="14" t="s">
        <v>31</v>
      </c>
      <c r="F147" s="14">
        <v>1</v>
      </c>
      <c r="G147" s="14">
        <v>4881</v>
      </c>
      <c r="H147" s="14">
        <v>4881</v>
      </c>
      <c r="I147" s="15">
        <v>45475</v>
      </c>
      <c r="J147" s="14" t="s">
        <v>24</v>
      </c>
      <c r="K147" s="16">
        <f t="shared" si="14"/>
        <v>4881</v>
      </c>
      <c r="L147" s="16" t="str">
        <f t="shared" si="15"/>
        <v>Correct</v>
      </c>
      <c r="M147" s="16" t="str">
        <f t="shared" si="16"/>
        <v>Adult</v>
      </c>
      <c r="N147" s="16" t="str">
        <f t="shared" si="17"/>
        <v>Normal</v>
      </c>
      <c r="O147" s="16" t="str">
        <f t="shared" si="13"/>
        <v>July</v>
      </c>
    </row>
    <row r="148" spans="1:15" x14ac:dyDescent="0.3">
      <c r="A148" s="14" t="s">
        <v>170</v>
      </c>
      <c r="B148" s="14" t="s">
        <v>19</v>
      </c>
      <c r="C148" s="14">
        <v>20</v>
      </c>
      <c r="D148" s="14" t="s">
        <v>26</v>
      </c>
      <c r="E148" s="14" t="s">
        <v>20</v>
      </c>
      <c r="F148" s="14">
        <v>5</v>
      </c>
      <c r="G148" s="14">
        <v>3982</v>
      </c>
      <c r="H148" s="14">
        <v>19910</v>
      </c>
      <c r="I148" s="15">
        <v>45329</v>
      </c>
      <c r="J148" s="14" t="s">
        <v>17</v>
      </c>
      <c r="K148" s="16">
        <f t="shared" si="14"/>
        <v>19910</v>
      </c>
      <c r="L148" s="16" t="str">
        <f t="shared" si="15"/>
        <v>Correct</v>
      </c>
      <c r="M148" s="16" t="str">
        <f t="shared" si="16"/>
        <v>Adult</v>
      </c>
      <c r="N148" s="16" t="str">
        <f t="shared" si="17"/>
        <v>High Value</v>
      </c>
      <c r="O148" s="16" t="str">
        <f t="shared" si="13"/>
        <v>February</v>
      </c>
    </row>
    <row r="149" spans="1:15" x14ac:dyDescent="0.3">
      <c r="A149" s="14" t="s">
        <v>171</v>
      </c>
      <c r="B149" s="14" t="s">
        <v>19</v>
      </c>
      <c r="C149" s="14">
        <v>48</v>
      </c>
      <c r="D149" s="14" t="s">
        <v>28</v>
      </c>
      <c r="E149" s="14" t="s">
        <v>23</v>
      </c>
      <c r="F149" s="14">
        <v>1</v>
      </c>
      <c r="G149" s="14">
        <v>1956</v>
      </c>
      <c r="H149" s="14">
        <v>1956</v>
      </c>
      <c r="I149" s="15">
        <v>45625</v>
      </c>
      <c r="J149" s="14" t="s">
        <v>21</v>
      </c>
      <c r="K149" s="16">
        <f t="shared" si="14"/>
        <v>1956</v>
      </c>
      <c r="L149" s="16" t="str">
        <f t="shared" si="15"/>
        <v>Correct</v>
      </c>
      <c r="M149" s="16" t="str">
        <f t="shared" si="16"/>
        <v>Senior</v>
      </c>
      <c r="N149" s="16" t="str">
        <f t="shared" si="17"/>
        <v>Normal</v>
      </c>
      <c r="O149" s="16" t="str">
        <f t="shared" si="13"/>
        <v>November</v>
      </c>
    </row>
    <row r="150" spans="1:15" x14ac:dyDescent="0.3">
      <c r="A150" s="14" t="s">
        <v>172</v>
      </c>
      <c r="B150" s="14" t="s">
        <v>19</v>
      </c>
      <c r="C150" s="14">
        <v>24</v>
      </c>
      <c r="D150" s="14" t="s">
        <v>28</v>
      </c>
      <c r="E150" s="14" t="s">
        <v>20</v>
      </c>
      <c r="F150" s="14">
        <v>1</v>
      </c>
      <c r="G150" s="14">
        <v>2947</v>
      </c>
      <c r="H150" s="14">
        <v>2947</v>
      </c>
      <c r="I150" s="15">
        <v>45580</v>
      </c>
      <c r="J150" s="14" t="s">
        <v>24</v>
      </c>
      <c r="K150" s="16">
        <f t="shared" si="14"/>
        <v>2947</v>
      </c>
      <c r="L150" s="16" t="str">
        <f t="shared" si="15"/>
        <v>Correct</v>
      </c>
      <c r="M150" s="16" t="str">
        <f t="shared" si="16"/>
        <v>Adult</v>
      </c>
      <c r="N150" s="16" t="str">
        <f t="shared" si="17"/>
        <v>Normal</v>
      </c>
      <c r="O150" s="16" t="str">
        <f t="shared" si="13"/>
        <v>October</v>
      </c>
    </row>
    <row r="151" spans="1:15" x14ac:dyDescent="0.3">
      <c r="A151" s="14" t="s">
        <v>173</v>
      </c>
      <c r="B151" s="14" t="s">
        <v>19</v>
      </c>
      <c r="C151" s="14">
        <v>44</v>
      </c>
      <c r="D151" s="14" t="s">
        <v>12</v>
      </c>
      <c r="E151" s="14" t="s">
        <v>31</v>
      </c>
      <c r="F151" s="14">
        <v>5</v>
      </c>
      <c r="G151" s="14">
        <v>3617</v>
      </c>
      <c r="H151" s="14">
        <v>18085</v>
      </c>
      <c r="I151" s="15">
        <v>45409</v>
      </c>
      <c r="J151" s="14" t="s">
        <v>17</v>
      </c>
      <c r="K151" s="16">
        <f t="shared" si="14"/>
        <v>18085</v>
      </c>
      <c r="L151" s="16" t="str">
        <f t="shared" si="15"/>
        <v>Correct</v>
      </c>
      <c r="M151" s="16" t="str">
        <f t="shared" si="16"/>
        <v>Senior</v>
      </c>
      <c r="N151" s="16" t="str">
        <f t="shared" si="17"/>
        <v>High Value</v>
      </c>
      <c r="O151" s="16" t="str">
        <f t="shared" si="13"/>
        <v>April</v>
      </c>
    </row>
    <row r="152" spans="1:15" x14ac:dyDescent="0.3">
      <c r="A152" s="14" t="s">
        <v>174</v>
      </c>
      <c r="B152" s="14" t="s">
        <v>11</v>
      </c>
      <c r="C152" s="14">
        <v>55</v>
      </c>
      <c r="D152" s="14" t="s">
        <v>12</v>
      </c>
      <c r="E152" s="14" t="s">
        <v>31</v>
      </c>
      <c r="F152" s="14">
        <v>5</v>
      </c>
      <c r="G152" s="14">
        <v>3881</v>
      </c>
      <c r="H152" s="14">
        <v>19405</v>
      </c>
      <c r="I152" s="15">
        <v>45582</v>
      </c>
      <c r="J152" s="14" t="s">
        <v>14</v>
      </c>
      <c r="K152" s="16">
        <f t="shared" si="14"/>
        <v>19405</v>
      </c>
      <c r="L152" s="16" t="str">
        <f t="shared" si="15"/>
        <v>Correct</v>
      </c>
      <c r="M152" s="16" t="str">
        <f t="shared" si="16"/>
        <v>Senior</v>
      </c>
      <c r="N152" s="16" t="str">
        <f t="shared" si="17"/>
        <v>High Value</v>
      </c>
      <c r="O152" s="16" t="str">
        <f t="shared" si="13"/>
        <v>October</v>
      </c>
    </row>
    <row r="153" spans="1:15" x14ac:dyDescent="0.3">
      <c r="A153" s="14" t="s">
        <v>175</v>
      </c>
      <c r="B153" s="14" t="s">
        <v>11</v>
      </c>
      <c r="C153" s="14">
        <v>25</v>
      </c>
      <c r="D153" s="14" t="s">
        <v>26</v>
      </c>
      <c r="E153" s="14" t="s">
        <v>23</v>
      </c>
      <c r="F153" s="14">
        <v>1</v>
      </c>
      <c r="G153" s="14">
        <v>2358</v>
      </c>
      <c r="H153" s="14">
        <v>2358</v>
      </c>
      <c r="I153" s="15">
        <v>45411</v>
      </c>
      <c r="J153" s="14" t="s">
        <v>24</v>
      </c>
      <c r="K153" s="16">
        <f t="shared" si="14"/>
        <v>2358</v>
      </c>
      <c r="L153" s="16" t="str">
        <f t="shared" si="15"/>
        <v>Correct</v>
      </c>
      <c r="M153" s="16" t="str">
        <f t="shared" si="16"/>
        <v>Adult</v>
      </c>
      <c r="N153" s="16" t="str">
        <f t="shared" si="17"/>
        <v>Normal</v>
      </c>
      <c r="O153" s="16" t="str">
        <f t="shared" si="13"/>
        <v>April</v>
      </c>
    </row>
    <row r="154" spans="1:15" x14ac:dyDescent="0.3">
      <c r="A154" s="14" t="s">
        <v>176</v>
      </c>
      <c r="B154" s="14" t="s">
        <v>19</v>
      </c>
      <c r="C154" s="14">
        <v>39</v>
      </c>
      <c r="D154" s="14" t="s">
        <v>28</v>
      </c>
      <c r="E154" s="14" t="s">
        <v>13</v>
      </c>
      <c r="F154" s="14">
        <v>5</v>
      </c>
      <c r="G154" s="14">
        <v>1260</v>
      </c>
      <c r="H154" s="14">
        <v>6300</v>
      </c>
      <c r="I154" s="15">
        <v>45302</v>
      </c>
      <c r="J154" s="14" t="s">
        <v>14</v>
      </c>
      <c r="K154" s="16">
        <f t="shared" si="14"/>
        <v>6300</v>
      </c>
      <c r="L154" s="16" t="str">
        <f t="shared" si="15"/>
        <v>Correct</v>
      </c>
      <c r="M154" s="16" t="str">
        <f t="shared" si="16"/>
        <v>Adult</v>
      </c>
      <c r="N154" s="16" t="str">
        <f t="shared" si="17"/>
        <v>Normal</v>
      </c>
      <c r="O154" s="16" t="str">
        <f t="shared" si="13"/>
        <v>January</v>
      </c>
    </row>
    <row r="155" spans="1:15" x14ac:dyDescent="0.3">
      <c r="A155" s="14" t="s">
        <v>177</v>
      </c>
      <c r="B155" s="14" t="s">
        <v>11</v>
      </c>
      <c r="C155" s="14">
        <v>19</v>
      </c>
      <c r="D155" s="14" t="s">
        <v>26</v>
      </c>
      <c r="E155" s="14" t="s">
        <v>31</v>
      </c>
      <c r="F155" s="14">
        <v>2</v>
      </c>
      <c r="G155" s="14">
        <v>2492</v>
      </c>
      <c r="H155" s="14">
        <v>4984</v>
      </c>
      <c r="I155" s="15">
        <v>45300</v>
      </c>
      <c r="J155" s="14" t="s">
        <v>21</v>
      </c>
      <c r="K155" s="16">
        <f t="shared" si="14"/>
        <v>4984</v>
      </c>
      <c r="L155" s="16" t="str">
        <f t="shared" si="15"/>
        <v>Correct</v>
      </c>
      <c r="M155" s="16" t="str">
        <f t="shared" si="16"/>
        <v>Teen</v>
      </c>
      <c r="N155" s="16" t="str">
        <f t="shared" si="17"/>
        <v>Normal</v>
      </c>
      <c r="O155" s="16" t="str">
        <f t="shared" si="13"/>
        <v>January</v>
      </c>
    </row>
    <row r="156" spans="1:15" x14ac:dyDescent="0.3">
      <c r="A156" s="14" t="s">
        <v>178</v>
      </c>
      <c r="B156" s="14" t="s">
        <v>11</v>
      </c>
      <c r="C156" s="14">
        <v>42</v>
      </c>
      <c r="D156" s="14" t="s">
        <v>12</v>
      </c>
      <c r="E156" s="14" t="s">
        <v>31</v>
      </c>
      <c r="F156" s="14">
        <v>3</v>
      </c>
      <c r="G156" s="14">
        <v>3655</v>
      </c>
      <c r="H156" s="14">
        <v>10965</v>
      </c>
      <c r="I156" s="15">
        <v>45480</v>
      </c>
      <c r="J156" s="14" t="s">
        <v>14</v>
      </c>
      <c r="K156" s="16">
        <f t="shared" si="14"/>
        <v>10965</v>
      </c>
      <c r="L156" s="16" t="str">
        <f t="shared" si="15"/>
        <v>Correct</v>
      </c>
      <c r="M156" s="16" t="str">
        <f t="shared" si="16"/>
        <v>Senior</v>
      </c>
      <c r="N156" s="16" t="str">
        <f t="shared" si="17"/>
        <v>High Value</v>
      </c>
      <c r="O156" s="16" t="str">
        <f t="shared" si="13"/>
        <v>July</v>
      </c>
    </row>
    <row r="157" spans="1:15" x14ac:dyDescent="0.3">
      <c r="A157" s="14" t="s">
        <v>179</v>
      </c>
      <c r="B157" s="14" t="s">
        <v>19</v>
      </c>
      <c r="C157" s="14">
        <v>34</v>
      </c>
      <c r="D157" s="14" t="s">
        <v>26</v>
      </c>
      <c r="E157" s="14" t="s">
        <v>23</v>
      </c>
      <c r="F157" s="14">
        <v>2</v>
      </c>
      <c r="G157" s="14">
        <v>1535</v>
      </c>
      <c r="H157" s="14">
        <v>3070</v>
      </c>
      <c r="I157" s="15">
        <v>45428</v>
      </c>
      <c r="J157" s="14" t="s">
        <v>17</v>
      </c>
      <c r="K157" s="16">
        <f t="shared" si="14"/>
        <v>3070</v>
      </c>
      <c r="L157" s="16" t="str">
        <f t="shared" si="15"/>
        <v>Correct</v>
      </c>
      <c r="M157" s="16" t="str">
        <f t="shared" si="16"/>
        <v>Adult</v>
      </c>
      <c r="N157" s="16" t="str">
        <f t="shared" si="17"/>
        <v>Normal</v>
      </c>
      <c r="O157" s="16" t="str">
        <f t="shared" si="13"/>
        <v>May</v>
      </c>
    </row>
    <row r="158" spans="1:15" x14ac:dyDescent="0.3">
      <c r="A158" s="14" t="s">
        <v>180</v>
      </c>
      <c r="B158" s="14" t="s">
        <v>11</v>
      </c>
      <c r="C158" s="14">
        <v>43</v>
      </c>
      <c r="D158" s="14" t="s">
        <v>12</v>
      </c>
      <c r="E158" s="14" t="s">
        <v>31</v>
      </c>
      <c r="F158" s="14">
        <v>3</v>
      </c>
      <c r="G158" s="14">
        <v>1425</v>
      </c>
      <c r="H158" s="14">
        <v>4275</v>
      </c>
      <c r="I158" s="15">
        <v>45436</v>
      </c>
      <c r="J158" s="14" t="s">
        <v>24</v>
      </c>
      <c r="K158" s="16">
        <f t="shared" si="14"/>
        <v>4275</v>
      </c>
      <c r="L158" s="16" t="str">
        <f t="shared" si="15"/>
        <v>Correct</v>
      </c>
      <c r="M158" s="16" t="str">
        <f t="shared" si="16"/>
        <v>Senior</v>
      </c>
      <c r="N158" s="16" t="str">
        <f t="shared" si="17"/>
        <v>Normal</v>
      </c>
      <c r="O158" s="16" t="str">
        <f t="shared" si="13"/>
        <v>May</v>
      </c>
    </row>
    <row r="159" spans="1:15" x14ac:dyDescent="0.3">
      <c r="A159" s="14" t="s">
        <v>181</v>
      </c>
      <c r="B159" s="14" t="s">
        <v>11</v>
      </c>
      <c r="C159" s="14">
        <v>32</v>
      </c>
      <c r="D159" s="14" t="s">
        <v>16</v>
      </c>
      <c r="E159" s="14" t="s">
        <v>31</v>
      </c>
      <c r="F159" s="14">
        <v>1</v>
      </c>
      <c r="G159" s="14">
        <v>3156</v>
      </c>
      <c r="H159" s="14">
        <v>3156</v>
      </c>
      <c r="I159" s="15">
        <v>45302</v>
      </c>
      <c r="J159" s="14" t="s">
        <v>17</v>
      </c>
      <c r="K159" s="16">
        <f t="shared" si="14"/>
        <v>3156</v>
      </c>
      <c r="L159" s="16" t="str">
        <f t="shared" si="15"/>
        <v>Correct</v>
      </c>
      <c r="M159" s="16" t="str">
        <f t="shared" si="16"/>
        <v>Adult</v>
      </c>
      <c r="N159" s="16" t="str">
        <f t="shared" si="17"/>
        <v>Normal</v>
      </c>
      <c r="O159" s="16" t="str">
        <f t="shared" si="13"/>
        <v>January</v>
      </c>
    </row>
    <row r="160" spans="1:15" x14ac:dyDescent="0.3">
      <c r="A160" s="14" t="s">
        <v>182</v>
      </c>
      <c r="B160" s="14" t="s">
        <v>11</v>
      </c>
      <c r="C160" s="14">
        <v>39</v>
      </c>
      <c r="D160" s="14" t="s">
        <v>28</v>
      </c>
      <c r="E160" s="14" t="s">
        <v>20</v>
      </c>
      <c r="F160" s="14">
        <v>5</v>
      </c>
      <c r="G160" s="14">
        <v>1342</v>
      </c>
      <c r="H160" s="14">
        <v>6710</v>
      </c>
      <c r="I160" s="15">
        <v>45390</v>
      </c>
      <c r="J160" s="14" t="s">
        <v>14</v>
      </c>
      <c r="K160" s="16">
        <f t="shared" si="14"/>
        <v>6710</v>
      </c>
      <c r="L160" s="16" t="str">
        <f t="shared" si="15"/>
        <v>Correct</v>
      </c>
      <c r="M160" s="16" t="str">
        <f t="shared" si="16"/>
        <v>Adult</v>
      </c>
      <c r="N160" s="16" t="str">
        <f t="shared" si="17"/>
        <v>Normal</v>
      </c>
      <c r="O160" s="16" t="str">
        <f t="shared" si="13"/>
        <v>April</v>
      </c>
    </row>
    <row r="161" spans="1:15" x14ac:dyDescent="0.3">
      <c r="A161" s="14" t="s">
        <v>183</v>
      </c>
      <c r="B161" s="14" t="s">
        <v>11</v>
      </c>
      <c r="C161" s="14">
        <v>57</v>
      </c>
      <c r="D161" s="14" t="s">
        <v>12</v>
      </c>
      <c r="E161" s="14" t="s">
        <v>31</v>
      </c>
      <c r="F161" s="14">
        <v>1</v>
      </c>
      <c r="G161" s="14">
        <v>3382</v>
      </c>
      <c r="H161" s="14">
        <v>3382</v>
      </c>
      <c r="I161" s="15">
        <v>45640</v>
      </c>
      <c r="J161" s="14" t="s">
        <v>17</v>
      </c>
      <c r="K161" s="16">
        <f t="shared" si="14"/>
        <v>3382</v>
      </c>
      <c r="L161" s="16" t="str">
        <f t="shared" si="15"/>
        <v>Correct</v>
      </c>
      <c r="M161" s="16" t="str">
        <f t="shared" si="16"/>
        <v>Senior</v>
      </c>
      <c r="N161" s="16" t="str">
        <f t="shared" si="17"/>
        <v>Normal</v>
      </c>
      <c r="O161" s="16" t="str">
        <f t="shared" si="13"/>
        <v>December</v>
      </c>
    </row>
    <row r="162" spans="1:15" x14ac:dyDescent="0.3">
      <c r="A162" s="14" t="s">
        <v>184</v>
      </c>
      <c r="B162" s="14" t="s">
        <v>11</v>
      </c>
      <c r="C162" s="14">
        <v>57</v>
      </c>
      <c r="D162" s="14" t="s">
        <v>16</v>
      </c>
      <c r="E162" s="14" t="s">
        <v>31</v>
      </c>
      <c r="F162" s="14">
        <v>1</v>
      </c>
      <c r="G162" s="14">
        <v>4658</v>
      </c>
      <c r="H162" s="14">
        <v>4658</v>
      </c>
      <c r="I162" s="15">
        <v>45564</v>
      </c>
      <c r="J162" s="14" t="s">
        <v>21</v>
      </c>
      <c r="K162" s="16">
        <f t="shared" si="14"/>
        <v>4658</v>
      </c>
      <c r="L162" s="16" t="str">
        <f t="shared" si="15"/>
        <v>Correct</v>
      </c>
      <c r="M162" s="16" t="str">
        <f t="shared" si="16"/>
        <v>Senior</v>
      </c>
      <c r="N162" s="16" t="str">
        <f t="shared" si="17"/>
        <v>Normal</v>
      </c>
      <c r="O162" s="16" t="str">
        <f t="shared" ref="O162:O194" si="18">TEXT(I162,"mmmm")</f>
        <v>September</v>
      </c>
    </row>
    <row r="163" spans="1:15" x14ac:dyDescent="0.3">
      <c r="A163" s="14" t="s">
        <v>185</v>
      </c>
      <c r="B163" s="14" t="s">
        <v>19</v>
      </c>
      <c r="C163" s="14">
        <v>22</v>
      </c>
      <c r="D163" s="14" t="s">
        <v>28</v>
      </c>
      <c r="E163" s="14" t="s">
        <v>23</v>
      </c>
      <c r="F163" s="14">
        <v>4</v>
      </c>
      <c r="G163" s="14">
        <v>2683</v>
      </c>
      <c r="H163" s="14">
        <v>10732</v>
      </c>
      <c r="I163" s="15">
        <v>45330</v>
      </c>
      <c r="J163" s="14" t="s">
        <v>17</v>
      </c>
      <c r="K163" s="16">
        <f t="shared" si="14"/>
        <v>10732</v>
      </c>
      <c r="L163" s="16" t="str">
        <f t="shared" si="15"/>
        <v>Correct</v>
      </c>
      <c r="M163" s="16" t="str">
        <f t="shared" si="16"/>
        <v>Adult</v>
      </c>
      <c r="N163" s="16" t="str">
        <f t="shared" si="17"/>
        <v>High Value</v>
      </c>
      <c r="O163" s="16" t="str">
        <f t="shared" si="18"/>
        <v>February</v>
      </c>
    </row>
    <row r="164" spans="1:15" x14ac:dyDescent="0.3">
      <c r="A164" s="14" t="s">
        <v>186</v>
      </c>
      <c r="B164" s="14" t="s">
        <v>11</v>
      </c>
      <c r="C164" s="14">
        <v>60</v>
      </c>
      <c r="D164" s="14" t="s">
        <v>28</v>
      </c>
      <c r="E164" s="14" t="s">
        <v>23</v>
      </c>
      <c r="F164" s="14">
        <v>4</v>
      </c>
      <c r="G164" s="14">
        <v>3603</v>
      </c>
      <c r="H164" s="14">
        <v>14412</v>
      </c>
      <c r="I164" s="15">
        <v>45444</v>
      </c>
      <c r="J164" s="14" t="s">
        <v>14</v>
      </c>
      <c r="K164" s="16">
        <f t="shared" si="14"/>
        <v>14412</v>
      </c>
      <c r="L164" s="16" t="str">
        <f t="shared" si="15"/>
        <v>Correct</v>
      </c>
      <c r="M164" s="16" t="str">
        <f t="shared" si="16"/>
        <v>Senior</v>
      </c>
      <c r="N164" s="16" t="str">
        <f t="shared" si="17"/>
        <v>High Value</v>
      </c>
      <c r="O164" s="16" t="str">
        <f t="shared" si="18"/>
        <v>June</v>
      </c>
    </row>
    <row r="165" spans="1:15" x14ac:dyDescent="0.3">
      <c r="A165" s="14" t="s">
        <v>187</v>
      </c>
      <c r="B165" s="14" t="s">
        <v>11</v>
      </c>
      <c r="C165" s="14">
        <v>21</v>
      </c>
      <c r="D165" s="14" t="s">
        <v>26</v>
      </c>
      <c r="E165" s="14" t="s">
        <v>20</v>
      </c>
      <c r="F165" s="14">
        <v>2</v>
      </c>
      <c r="G165" s="14">
        <v>4000</v>
      </c>
      <c r="H165" s="14">
        <v>8000</v>
      </c>
      <c r="I165" s="15">
        <v>45296</v>
      </c>
      <c r="J165" s="14" t="s">
        <v>17</v>
      </c>
      <c r="K165" s="16">
        <f t="shared" si="14"/>
        <v>8000</v>
      </c>
      <c r="L165" s="16" t="str">
        <f t="shared" si="15"/>
        <v>Correct</v>
      </c>
      <c r="M165" s="16" t="str">
        <f t="shared" si="16"/>
        <v>Adult</v>
      </c>
      <c r="N165" s="16" t="str">
        <f t="shared" si="17"/>
        <v>Normal</v>
      </c>
      <c r="O165" s="16" t="str">
        <f t="shared" si="18"/>
        <v>January</v>
      </c>
    </row>
    <row r="166" spans="1:15" x14ac:dyDescent="0.3">
      <c r="A166" s="14" t="s">
        <v>188</v>
      </c>
      <c r="B166" s="14" t="s">
        <v>19</v>
      </c>
      <c r="C166" s="14">
        <v>38</v>
      </c>
      <c r="D166" s="14" t="s">
        <v>12</v>
      </c>
      <c r="E166" s="14" t="s">
        <v>31</v>
      </c>
      <c r="F166" s="14">
        <v>4</v>
      </c>
      <c r="G166" s="14">
        <v>775</v>
      </c>
      <c r="H166" s="14">
        <v>3100</v>
      </c>
      <c r="I166" s="15">
        <v>45588</v>
      </c>
      <c r="J166" s="14" t="s">
        <v>14</v>
      </c>
      <c r="K166" s="16">
        <f t="shared" si="14"/>
        <v>3100</v>
      </c>
      <c r="L166" s="16" t="str">
        <f t="shared" si="15"/>
        <v>Correct</v>
      </c>
      <c r="M166" s="16" t="str">
        <f t="shared" si="16"/>
        <v>Adult</v>
      </c>
      <c r="N166" s="16" t="str">
        <f t="shared" si="17"/>
        <v>Normal</v>
      </c>
      <c r="O166" s="16" t="str">
        <f t="shared" si="18"/>
        <v>October</v>
      </c>
    </row>
    <row r="167" spans="1:15" x14ac:dyDescent="0.3">
      <c r="A167" s="14" t="s">
        <v>189</v>
      </c>
      <c r="B167" s="14" t="s">
        <v>19</v>
      </c>
      <c r="C167" s="14">
        <v>35</v>
      </c>
      <c r="D167" s="14" t="s">
        <v>26</v>
      </c>
      <c r="E167" s="14" t="s">
        <v>13</v>
      </c>
      <c r="F167" s="14">
        <v>3</v>
      </c>
      <c r="G167" s="14">
        <v>853</v>
      </c>
      <c r="H167" s="14">
        <v>2559</v>
      </c>
      <c r="I167" s="15">
        <v>45631</v>
      </c>
      <c r="J167" s="14" t="s">
        <v>14</v>
      </c>
      <c r="K167" s="16">
        <f t="shared" si="14"/>
        <v>2559</v>
      </c>
      <c r="L167" s="16" t="str">
        <f t="shared" si="15"/>
        <v>Correct</v>
      </c>
      <c r="M167" s="16" t="str">
        <f t="shared" si="16"/>
        <v>Adult</v>
      </c>
      <c r="N167" s="16" t="str">
        <f t="shared" si="17"/>
        <v>Normal</v>
      </c>
      <c r="O167" s="16" t="str">
        <f t="shared" si="18"/>
        <v>December</v>
      </c>
    </row>
    <row r="168" spans="1:15" x14ac:dyDescent="0.3">
      <c r="A168" s="14" t="s">
        <v>190</v>
      </c>
      <c r="B168" s="14" t="s">
        <v>19</v>
      </c>
      <c r="C168" s="14">
        <v>32</v>
      </c>
      <c r="D168" s="14" t="s">
        <v>12</v>
      </c>
      <c r="E168" s="14" t="s">
        <v>23</v>
      </c>
      <c r="F168" s="14">
        <v>1</v>
      </c>
      <c r="G168" s="14">
        <v>2833</v>
      </c>
      <c r="H168" s="14">
        <v>2833</v>
      </c>
      <c r="I168" s="15">
        <v>45316</v>
      </c>
      <c r="J168" s="14" t="s">
        <v>24</v>
      </c>
      <c r="K168" s="16">
        <f t="shared" si="14"/>
        <v>2833</v>
      </c>
      <c r="L168" s="16" t="str">
        <f t="shared" si="15"/>
        <v>Correct</v>
      </c>
      <c r="M168" s="16" t="str">
        <f t="shared" si="16"/>
        <v>Adult</v>
      </c>
      <c r="N168" s="16" t="str">
        <f t="shared" si="17"/>
        <v>Normal</v>
      </c>
      <c r="O168" s="16" t="str">
        <f t="shared" si="18"/>
        <v>January</v>
      </c>
    </row>
    <row r="169" spans="1:15" x14ac:dyDescent="0.3">
      <c r="A169" s="14" t="s">
        <v>191</v>
      </c>
      <c r="B169" s="14" t="s">
        <v>19</v>
      </c>
      <c r="C169" s="14">
        <v>49</v>
      </c>
      <c r="D169" s="14" t="s">
        <v>12</v>
      </c>
      <c r="E169" s="14" t="s">
        <v>20</v>
      </c>
      <c r="F169" s="14">
        <v>4</v>
      </c>
      <c r="G169" s="14">
        <v>588</v>
      </c>
      <c r="H169" s="14">
        <v>2352</v>
      </c>
      <c r="I169" s="15">
        <v>45310</v>
      </c>
      <c r="J169" s="14" t="s">
        <v>24</v>
      </c>
      <c r="K169" s="16">
        <f t="shared" si="14"/>
        <v>2352</v>
      </c>
      <c r="L169" s="16" t="str">
        <f t="shared" si="15"/>
        <v>Correct</v>
      </c>
      <c r="M169" s="16" t="str">
        <f t="shared" si="16"/>
        <v>Senior</v>
      </c>
      <c r="N169" s="16" t="str">
        <f t="shared" si="17"/>
        <v>Normal</v>
      </c>
      <c r="O169" s="16" t="str">
        <f t="shared" si="18"/>
        <v>January</v>
      </c>
    </row>
    <row r="170" spans="1:15" x14ac:dyDescent="0.3">
      <c r="A170" s="14" t="s">
        <v>192</v>
      </c>
      <c r="B170" s="14" t="s">
        <v>11</v>
      </c>
      <c r="C170" s="14">
        <v>31</v>
      </c>
      <c r="D170" s="14" t="s">
        <v>26</v>
      </c>
      <c r="E170" s="14" t="s">
        <v>31</v>
      </c>
      <c r="F170" s="14">
        <v>3</v>
      </c>
      <c r="G170" s="14">
        <v>3189</v>
      </c>
      <c r="H170" s="14">
        <v>9567</v>
      </c>
      <c r="I170" s="15">
        <v>45554</v>
      </c>
      <c r="J170" s="14" t="s">
        <v>21</v>
      </c>
      <c r="K170" s="16">
        <f t="shared" si="14"/>
        <v>9567</v>
      </c>
      <c r="L170" s="16" t="str">
        <f t="shared" si="15"/>
        <v>Correct</v>
      </c>
      <c r="M170" s="16" t="str">
        <f t="shared" si="16"/>
        <v>Adult</v>
      </c>
      <c r="N170" s="16" t="str">
        <f t="shared" si="17"/>
        <v>Normal</v>
      </c>
      <c r="O170" s="16" t="str">
        <f t="shared" si="18"/>
        <v>September</v>
      </c>
    </row>
    <row r="171" spans="1:15" x14ac:dyDescent="0.3">
      <c r="A171" s="14" t="s">
        <v>193</v>
      </c>
      <c r="B171" s="14" t="s">
        <v>11</v>
      </c>
      <c r="C171" s="14">
        <v>24</v>
      </c>
      <c r="D171" s="14" t="s">
        <v>28</v>
      </c>
      <c r="E171" s="14" t="s">
        <v>23</v>
      </c>
      <c r="F171" s="14">
        <v>1</v>
      </c>
      <c r="G171" s="14">
        <v>3961</v>
      </c>
      <c r="H171" s="14">
        <v>3961</v>
      </c>
      <c r="I171" s="15">
        <v>45646</v>
      </c>
      <c r="J171" s="14" t="s">
        <v>21</v>
      </c>
      <c r="K171" s="16">
        <f t="shared" si="14"/>
        <v>3961</v>
      </c>
      <c r="L171" s="16" t="str">
        <f t="shared" si="15"/>
        <v>Correct</v>
      </c>
      <c r="M171" s="16" t="str">
        <f t="shared" si="16"/>
        <v>Adult</v>
      </c>
      <c r="N171" s="16" t="str">
        <f t="shared" si="17"/>
        <v>Normal</v>
      </c>
      <c r="O171" s="16" t="str">
        <f t="shared" si="18"/>
        <v>December</v>
      </c>
    </row>
    <row r="172" spans="1:15" x14ac:dyDescent="0.3">
      <c r="A172" s="14" t="s">
        <v>194</v>
      </c>
      <c r="B172" s="14" t="s">
        <v>19</v>
      </c>
      <c r="C172" s="14">
        <v>53</v>
      </c>
      <c r="D172" s="14" t="s">
        <v>16</v>
      </c>
      <c r="E172" s="14" t="s">
        <v>23</v>
      </c>
      <c r="F172" s="14">
        <v>3</v>
      </c>
      <c r="G172" s="14">
        <v>3202</v>
      </c>
      <c r="H172" s="14">
        <v>9606</v>
      </c>
      <c r="I172" s="15">
        <v>45377</v>
      </c>
      <c r="J172" s="14" t="s">
        <v>17</v>
      </c>
      <c r="K172" s="16">
        <f t="shared" si="14"/>
        <v>9606</v>
      </c>
      <c r="L172" s="16" t="str">
        <f t="shared" si="15"/>
        <v>Correct</v>
      </c>
      <c r="M172" s="16" t="str">
        <f t="shared" si="16"/>
        <v>Senior</v>
      </c>
      <c r="N172" s="16" t="str">
        <f t="shared" si="17"/>
        <v>Normal</v>
      </c>
      <c r="O172" s="16" t="str">
        <f t="shared" si="18"/>
        <v>March</v>
      </c>
    </row>
    <row r="173" spans="1:15" x14ac:dyDescent="0.3">
      <c r="A173" s="14" t="s">
        <v>195</v>
      </c>
      <c r="B173" s="14" t="s">
        <v>11</v>
      </c>
      <c r="C173" s="14">
        <v>58</v>
      </c>
      <c r="D173" s="14" t="s">
        <v>28</v>
      </c>
      <c r="E173" s="14" t="s">
        <v>31</v>
      </c>
      <c r="F173" s="14">
        <v>3</v>
      </c>
      <c r="G173" s="14">
        <v>738</v>
      </c>
      <c r="H173" s="14">
        <v>2214</v>
      </c>
      <c r="I173" s="15">
        <v>45322</v>
      </c>
      <c r="J173" s="14" t="s">
        <v>21</v>
      </c>
      <c r="K173" s="16">
        <f t="shared" si="14"/>
        <v>2214</v>
      </c>
      <c r="L173" s="16" t="str">
        <f t="shared" si="15"/>
        <v>Correct</v>
      </c>
      <c r="M173" s="16" t="str">
        <f t="shared" si="16"/>
        <v>Senior</v>
      </c>
      <c r="N173" s="16" t="str">
        <f t="shared" si="17"/>
        <v>Normal</v>
      </c>
      <c r="O173" s="16" t="str">
        <f t="shared" si="18"/>
        <v>January</v>
      </c>
    </row>
    <row r="174" spans="1:15" x14ac:dyDescent="0.3">
      <c r="A174" s="14" t="s">
        <v>196</v>
      </c>
      <c r="B174" s="14" t="s">
        <v>11</v>
      </c>
      <c r="C174" s="14">
        <v>36</v>
      </c>
      <c r="D174" s="14" t="s">
        <v>12</v>
      </c>
      <c r="E174" s="14" t="s">
        <v>31</v>
      </c>
      <c r="F174" s="14">
        <v>2</v>
      </c>
      <c r="G174" s="14">
        <v>503</v>
      </c>
      <c r="H174" s="14">
        <v>1006</v>
      </c>
      <c r="I174" s="15">
        <v>45566</v>
      </c>
      <c r="J174" s="14" t="s">
        <v>24</v>
      </c>
      <c r="K174" s="16">
        <f t="shared" si="14"/>
        <v>1006</v>
      </c>
      <c r="L174" s="16" t="str">
        <f t="shared" si="15"/>
        <v>Correct</v>
      </c>
      <c r="M174" s="16" t="str">
        <f t="shared" si="16"/>
        <v>Adult</v>
      </c>
      <c r="N174" s="16" t="str">
        <f t="shared" si="17"/>
        <v>Normal</v>
      </c>
      <c r="O174" s="16" t="str">
        <f t="shared" si="18"/>
        <v>October</v>
      </c>
    </row>
    <row r="175" spans="1:15" x14ac:dyDescent="0.3">
      <c r="A175" s="14" t="s">
        <v>197</v>
      </c>
      <c r="B175" s="14" t="s">
        <v>19</v>
      </c>
      <c r="C175" s="14">
        <v>36</v>
      </c>
      <c r="D175" s="14" t="s">
        <v>28</v>
      </c>
      <c r="E175" s="14" t="s">
        <v>13</v>
      </c>
      <c r="F175" s="14">
        <v>2</v>
      </c>
      <c r="G175" s="14">
        <v>3431</v>
      </c>
      <c r="H175" s="14">
        <v>6862</v>
      </c>
      <c r="I175" s="15">
        <v>45420</v>
      </c>
      <c r="J175" s="14" t="s">
        <v>21</v>
      </c>
      <c r="K175" s="16">
        <f t="shared" si="14"/>
        <v>6862</v>
      </c>
      <c r="L175" s="16" t="str">
        <f t="shared" si="15"/>
        <v>Correct</v>
      </c>
      <c r="M175" s="16" t="str">
        <f t="shared" si="16"/>
        <v>Adult</v>
      </c>
      <c r="N175" s="16" t="str">
        <f t="shared" si="17"/>
        <v>Normal</v>
      </c>
      <c r="O175" s="16" t="str">
        <f t="shared" si="18"/>
        <v>May</v>
      </c>
    </row>
    <row r="176" spans="1:15" x14ac:dyDescent="0.3">
      <c r="A176" s="14" t="s">
        <v>198</v>
      </c>
      <c r="B176" s="14" t="s">
        <v>19</v>
      </c>
      <c r="C176" s="14">
        <v>57</v>
      </c>
      <c r="D176" s="14" t="s">
        <v>28</v>
      </c>
      <c r="E176" s="14" t="s">
        <v>20</v>
      </c>
      <c r="F176" s="14">
        <v>3</v>
      </c>
      <c r="G176" s="14">
        <v>1953</v>
      </c>
      <c r="H176" s="14">
        <v>5859</v>
      </c>
      <c r="I176" s="15">
        <v>45491</v>
      </c>
      <c r="J176" s="14" t="s">
        <v>21</v>
      </c>
      <c r="K176" s="16">
        <f t="shared" si="14"/>
        <v>5859</v>
      </c>
      <c r="L176" s="16" t="str">
        <f t="shared" si="15"/>
        <v>Correct</v>
      </c>
      <c r="M176" s="16" t="str">
        <f t="shared" si="16"/>
        <v>Senior</v>
      </c>
      <c r="N176" s="16" t="str">
        <f t="shared" si="17"/>
        <v>Normal</v>
      </c>
      <c r="O176" s="16" t="str">
        <f t="shared" si="18"/>
        <v>July</v>
      </c>
    </row>
    <row r="177" spans="1:15" x14ac:dyDescent="0.3">
      <c r="A177" s="14" t="s">
        <v>199</v>
      </c>
      <c r="B177" s="14" t="s">
        <v>19</v>
      </c>
      <c r="C177" s="14">
        <v>38</v>
      </c>
      <c r="D177" s="14" t="s">
        <v>26</v>
      </c>
      <c r="E177" s="14" t="s">
        <v>23</v>
      </c>
      <c r="F177" s="14">
        <v>1</v>
      </c>
      <c r="G177" s="14">
        <v>2751</v>
      </c>
      <c r="H177" s="14">
        <v>2751</v>
      </c>
      <c r="I177" s="15">
        <v>45325</v>
      </c>
      <c r="J177" s="14" t="s">
        <v>14</v>
      </c>
      <c r="K177" s="16">
        <f t="shared" si="14"/>
        <v>2751</v>
      </c>
      <c r="L177" s="16" t="str">
        <f t="shared" si="15"/>
        <v>Correct</v>
      </c>
      <c r="M177" s="16" t="str">
        <f t="shared" si="16"/>
        <v>Adult</v>
      </c>
      <c r="N177" s="16" t="str">
        <f t="shared" si="17"/>
        <v>Normal</v>
      </c>
      <c r="O177" s="16" t="str">
        <f t="shared" si="18"/>
        <v>February</v>
      </c>
    </row>
    <row r="178" spans="1:15" x14ac:dyDescent="0.3">
      <c r="A178" s="14" t="s">
        <v>200</v>
      </c>
      <c r="B178" s="14" t="s">
        <v>11</v>
      </c>
      <c r="C178" s="14">
        <v>52</v>
      </c>
      <c r="D178" s="14" t="s">
        <v>12</v>
      </c>
      <c r="E178" s="14" t="s">
        <v>23</v>
      </c>
      <c r="F178" s="14">
        <v>5</v>
      </c>
      <c r="G178" s="14">
        <v>922</v>
      </c>
      <c r="H178" s="14">
        <v>4610</v>
      </c>
      <c r="I178" s="15">
        <v>45482</v>
      </c>
      <c r="J178" s="14" t="s">
        <v>21</v>
      </c>
      <c r="K178" s="16">
        <f t="shared" si="14"/>
        <v>4610</v>
      </c>
      <c r="L178" s="16" t="str">
        <f t="shared" si="15"/>
        <v>Correct</v>
      </c>
      <c r="M178" s="16" t="str">
        <f t="shared" si="16"/>
        <v>Senior</v>
      </c>
      <c r="N178" s="16" t="str">
        <f t="shared" si="17"/>
        <v>Normal</v>
      </c>
      <c r="O178" s="16" t="str">
        <f t="shared" si="18"/>
        <v>July</v>
      </c>
    </row>
    <row r="179" spans="1:15" x14ac:dyDescent="0.3">
      <c r="A179" s="14" t="s">
        <v>201</v>
      </c>
      <c r="B179" s="14" t="s">
        <v>11</v>
      </c>
      <c r="C179" s="14">
        <v>59</v>
      </c>
      <c r="D179" s="14" t="s">
        <v>26</v>
      </c>
      <c r="E179" s="14" t="s">
        <v>23</v>
      </c>
      <c r="F179" s="14">
        <v>4</v>
      </c>
      <c r="G179" s="14">
        <v>1105</v>
      </c>
      <c r="H179" s="14">
        <v>4420</v>
      </c>
      <c r="I179" s="15">
        <v>45631</v>
      </c>
      <c r="J179" s="14" t="s">
        <v>21</v>
      </c>
      <c r="K179" s="16">
        <f t="shared" si="14"/>
        <v>4420</v>
      </c>
      <c r="L179" s="16" t="str">
        <f t="shared" si="15"/>
        <v>Correct</v>
      </c>
      <c r="M179" s="16" t="str">
        <f t="shared" si="16"/>
        <v>Senior</v>
      </c>
      <c r="N179" s="16" t="str">
        <f t="shared" si="17"/>
        <v>Normal</v>
      </c>
      <c r="O179" s="16" t="str">
        <f t="shared" si="18"/>
        <v>December</v>
      </c>
    </row>
    <row r="180" spans="1:15" x14ac:dyDescent="0.3">
      <c r="A180" s="14" t="s">
        <v>202</v>
      </c>
      <c r="B180" s="14" t="s">
        <v>11</v>
      </c>
      <c r="C180" s="14">
        <v>55</v>
      </c>
      <c r="D180" s="14" t="s">
        <v>26</v>
      </c>
      <c r="E180" s="14" t="s">
        <v>13</v>
      </c>
      <c r="F180" s="14">
        <v>4</v>
      </c>
      <c r="G180" s="14">
        <v>4565</v>
      </c>
      <c r="H180" s="14">
        <v>18260</v>
      </c>
      <c r="I180" s="15">
        <v>45509</v>
      </c>
      <c r="J180" s="14" t="s">
        <v>17</v>
      </c>
      <c r="K180" s="16">
        <f t="shared" si="14"/>
        <v>18260</v>
      </c>
      <c r="L180" s="16" t="str">
        <f t="shared" si="15"/>
        <v>Correct</v>
      </c>
      <c r="M180" s="16" t="str">
        <f t="shared" si="16"/>
        <v>Senior</v>
      </c>
      <c r="N180" s="16" t="str">
        <f t="shared" si="17"/>
        <v>High Value</v>
      </c>
      <c r="O180" s="16" t="str">
        <f t="shared" si="18"/>
        <v>August</v>
      </c>
    </row>
    <row r="181" spans="1:15" x14ac:dyDescent="0.3">
      <c r="A181" s="14" t="s">
        <v>203</v>
      </c>
      <c r="B181" s="14" t="s">
        <v>11</v>
      </c>
      <c r="C181" s="14">
        <v>47</v>
      </c>
      <c r="D181" s="14" t="s">
        <v>12</v>
      </c>
      <c r="E181" s="14" t="s">
        <v>23</v>
      </c>
      <c r="F181" s="14">
        <v>1</v>
      </c>
      <c r="G181" s="14">
        <v>4919</v>
      </c>
      <c r="H181" s="14">
        <v>4919</v>
      </c>
      <c r="I181" s="15">
        <v>45331</v>
      </c>
      <c r="J181" s="14" t="s">
        <v>17</v>
      </c>
      <c r="K181" s="16">
        <f t="shared" si="14"/>
        <v>4919</v>
      </c>
      <c r="L181" s="16" t="str">
        <f t="shared" si="15"/>
        <v>Correct</v>
      </c>
      <c r="M181" s="16" t="str">
        <f t="shared" si="16"/>
        <v>Senior</v>
      </c>
      <c r="N181" s="16" t="str">
        <f t="shared" si="17"/>
        <v>Normal</v>
      </c>
      <c r="O181" s="16" t="str">
        <f t="shared" si="18"/>
        <v>February</v>
      </c>
    </row>
    <row r="182" spans="1:15" x14ac:dyDescent="0.3">
      <c r="A182" s="14" t="s">
        <v>204</v>
      </c>
      <c r="B182" s="14" t="s">
        <v>11</v>
      </c>
      <c r="C182" s="14">
        <v>36</v>
      </c>
      <c r="D182" s="14" t="s">
        <v>12</v>
      </c>
      <c r="E182" s="14" t="s">
        <v>23</v>
      </c>
      <c r="F182" s="14">
        <v>5</v>
      </c>
      <c r="G182" s="14">
        <v>586</v>
      </c>
      <c r="H182" s="14">
        <v>2930</v>
      </c>
      <c r="I182" s="15">
        <v>45627</v>
      </c>
      <c r="J182" s="14" t="s">
        <v>14</v>
      </c>
      <c r="K182" s="16">
        <f t="shared" si="14"/>
        <v>2930</v>
      </c>
      <c r="L182" s="16" t="str">
        <f t="shared" si="15"/>
        <v>Correct</v>
      </c>
      <c r="M182" s="16" t="str">
        <f t="shared" si="16"/>
        <v>Adult</v>
      </c>
      <c r="N182" s="16" t="str">
        <f t="shared" si="17"/>
        <v>Normal</v>
      </c>
      <c r="O182" s="16" t="str">
        <f t="shared" si="18"/>
        <v>December</v>
      </c>
    </row>
    <row r="183" spans="1:15" x14ac:dyDescent="0.3">
      <c r="A183" s="14" t="s">
        <v>205</v>
      </c>
      <c r="B183" s="14" t="s">
        <v>11</v>
      </c>
      <c r="C183" s="14">
        <v>46</v>
      </c>
      <c r="D183" s="14" t="s">
        <v>12</v>
      </c>
      <c r="E183" s="14" t="s">
        <v>20</v>
      </c>
      <c r="F183" s="14">
        <v>1</v>
      </c>
      <c r="G183" s="14">
        <v>1803</v>
      </c>
      <c r="H183" s="14">
        <v>1803</v>
      </c>
      <c r="I183" s="15">
        <v>45457</v>
      </c>
      <c r="J183" s="14" t="s">
        <v>14</v>
      </c>
      <c r="K183" s="16">
        <f t="shared" si="14"/>
        <v>1803</v>
      </c>
      <c r="L183" s="16" t="str">
        <f t="shared" si="15"/>
        <v>Correct</v>
      </c>
      <c r="M183" s="16" t="str">
        <f t="shared" si="16"/>
        <v>Senior</v>
      </c>
      <c r="N183" s="16" t="str">
        <f t="shared" si="17"/>
        <v>Normal</v>
      </c>
      <c r="O183" s="16" t="str">
        <f t="shared" si="18"/>
        <v>June</v>
      </c>
    </row>
    <row r="184" spans="1:15" x14ac:dyDescent="0.3">
      <c r="A184" s="14" t="s">
        <v>206</v>
      </c>
      <c r="B184" s="14" t="s">
        <v>19</v>
      </c>
      <c r="C184" s="14">
        <v>42</v>
      </c>
      <c r="D184" s="14" t="s">
        <v>12</v>
      </c>
      <c r="E184" s="14" t="s">
        <v>20</v>
      </c>
      <c r="F184" s="14">
        <v>1</v>
      </c>
      <c r="G184" s="14">
        <v>2565</v>
      </c>
      <c r="H184" s="14">
        <v>2565</v>
      </c>
      <c r="I184" s="15">
        <v>45599</v>
      </c>
      <c r="J184" s="14" t="s">
        <v>21</v>
      </c>
      <c r="K184" s="16">
        <f t="shared" si="14"/>
        <v>2565</v>
      </c>
      <c r="L184" s="16" t="str">
        <f t="shared" si="15"/>
        <v>Correct</v>
      </c>
      <c r="M184" s="16" t="str">
        <f t="shared" si="16"/>
        <v>Senior</v>
      </c>
      <c r="N184" s="16" t="str">
        <f t="shared" si="17"/>
        <v>Normal</v>
      </c>
      <c r="O184" s="16" t="str">
        <f t="shared" si="18"/>
        <v>November</v>
      </c>
    </row>
    <row r="185" spans="1:15" x14ac:dyDescent="0.3">
      <c r="A185" s="14" t="s">
        <v>207</v>
      </c>
      <c r="B185" s="14" t="s">
        <v>19</v>
      </c>
      <c r="C185" s="14">
        <v>42</v>
      </c>
      <c r="D185" s="14" t="s">
        <v>26</v>
      </c>
      <c r="E185" s="14" t="s">
        <v>20</v>
      </c>
      <c r="F185" s="14">
        <v>2</v>
      </c>
      <c r="G185" s="14">
        <v>2108</v>
      </c>
      <c r="H185" s="14">
        <v>4216</v>
      </c>
      <c r="I185" s="15">
        <v>45485</v>
      </c>
      <c r="J185" s="14" t="s">
        <v>21</v>
      </c>
      <c r="K185" s="16">
        <f t="shared" si="14"/>
        <v>4216</v>
      </c>
      <c r="L185" s="16" t="str">
        <f t="shared" si="15"/>
        <v>Correct</v>
      </c>
      <c r="M185" s="16" t="str">
        <f t="shared" si="16"/>
        <v>Senior</v>
      </c>
      <c r="N185" s="16" t="str">
        <f t="shared" si="17"/>
        <v>Normal</v>
      </c>
      <c r="O185" s="16" t="str">
        <f t="shared" si="18"/>
        <v>July</v>
      </c>
    </row>
    <row r="186" spans="1:15" x14ac:dyDescent="0.3">
      <c r="A186" s="14" t="s">
        <v>208</v>
      </c>
      <c r="B186" s="14" t="s">
        <v>19</v>
      </c>
      <c r="C186" s="14">
        <v>35</v>
      </c>
      <c r="D186" s="14" t="s">
        <v>16</v>
      </c>
      <c r="E186" s="14" t="s">
        <v>31</v>
      </c>
      <c r="F186" s="14">
        <v>5</v>
      </c>
      <c r="G186" s="14">
        <v>3952</v>
      </c>
      <c r="H186" s="14">
        <v>19760</v>
      </c>
      <c r="I186" s="15">
        <v>45471</v>
      </c>
      <c r="J186" s="14" t="s">
        <v>14</v>
      </c>
      <c r="K186" s="16">
        <f t="shared" si="14"/>
        <v>19760</v>
      </c>
      <c r="L186" s="16" t="str">
        <f t="shared" si="15"/>
        <v>Correct</v>
      </c>
      <c r="M186" s="16" t="str">
        <f t="shared" si="16"/>
        <v>Adult</v>
      </c>
      <c r="N186" s="16" t="str">
        <f t="shared" si="17"/>
        <v>High Value</v>
      </c>
      <c r="O186" s="16" t="str">
        <f t="shared" si="18"/>
        <v>June</v>
      </c>
    </row>
    <row r="187" spans="1:15" x14ac:dyDescent="0.3">
      <c r="A187" s="14" t="s">
        <v>209</v>
      </c>
      <c r="B187" s="14" t="s">
        <v>19</v>
      </c>
      <c r="C187" s="14">
        <v>42</v>
      </c>
      <c r="D187" s="14" t="s">
        <v>16</v>
      </c>
      <c r="E187" s="14" t="s">
        <v>23</v>
      </c>
      <c r="F187" s="14">
        <v>5</v>
      </c>
      <c r="G187" s="14">
        <v>1839</v>
      </c>
      <c r="H187" s="14">
        <v>9195</v>
      </c>
      <c r="I187" s="15">
        <v>45344</v>
      </c>
      <c r="J187" s="14" t="s">
        <v>14</v>
      </c>
      <c r="K187" s="16">
        <f t="shared" si="14"/>
        <v>9195</v>
      </c>
      <c r="L187" s="16" t="str">
        <f t="shared" si="15"/>
        <v>Correct</v>
      </c>
      <c r="M187" s="16" t="str">
        <f t="shared" si="16"/>
        <v>Senior</v>
      </c>
      <c r="N187" s="16" t="str">
        <f t="shared" si="17"/>
        <v>Normal</v>
      </c>
      <c r="O187" s="16" t="str">
        <f t="shared" si="18"/>
        <v>February</v>
      </c>
    </row>
    <row r="188" spans="1:15" x14ac:dyDescent="0.3">
      <c r="A188" s="14" t="s">
        <v>210</v>
      </c>
      <c r="B188" s="14" t="s">
        <v>19</v>
      </c>
      <c r="C188" s="14">
        <v>31</v>
      </c>
      <c r="D188" s="14" t="s">
        <v>12</v>
      </c>
      <c r="E188" s="14" t="s">
        <v>31</v>
      </c>
      <c r="F188" s="14">
        <v>4</v>
      </c>
      <c r="G188" s="14">
        <v>2247</v>
      </c>
      <c r="H188" s="14">
        <v>8988</v>
      </c>
      <c r="I188" s="15">
        <v>45545</v>
      </c>
      <c r="J188" s="14" t="s">
        <v>24</v>
      </c>
      <c r="K188" s="16">
        <f t="shared" si="14"/>
        <v>8988</v>
      </c>
      <c r="L188" s="16" t="str">
        <f t="shared" si="15"/>
        <v>Correct</v>
      </c>
      <c r="M188" s="16" t="str">
        <f t="shared" si="16"/>
        <v>Adult</v>
      </c>
      <c r="N188" s="16" t="str">
        <f t="shared" si="17"/>
        <v>Normal</v>
      </c>
      <c r="O188" s="16" t="str">
        <f t="shared" si="18"/>
        <v>September</v>
      </c>
    </row>
    <row r="189" spans="1:15" x14ac:dyDescent="0.3">
      <c r="A189" s="14" t="s">
        <v>211</v>
      </c>
      <c r="B189" s="14" t="s">
        <v>11</v>
      </c>
      <c r="C189" s="14">
        <v>31</v>
      </c>
      <c r="D189" s="14" t="s">
        <v>16</v>
      </c>
      <c r="E189" s="14" t="s">
        <v>20</v>
      </c>
      <c r="F189" s="14">
        <v>4</v>
      </c>
      <c r="G189" s="14">
        <v>4721</v>
      </c>
      <c r="H189" s="14">
        <v>18884</v>
      </c>
      <c r="I189" s="15">
        <v>45355</v>
      </c>
      <c r="J189" s="14" t="s">
        <v>17</v>
      </c>
      <c r="K189" s="16">
        <f t="shared" si="14"/>
        <v>18884</v>
      </c>
      <c r="L189" s="16" t="str">
        <f t="shared" si="15"/>
        <v>Correct</v>
      </c>
      <c r="M189" s="16" t="str">
        <f t="shared" si="16"/>
        <v>Adult</v>
      </c>
      <c r="N189" s="16" t="str">
        <f t="shared" si="17"/>
        <v>High Value</v>
      </c>
      <c r="O189" s="16" t="str">
        <f t="shared" si="18"/>
        <v>March</v>
      </c>
    </row>
    <row r="190" spans="1:15" x14ac:dyDescent="0.3">
      <c r="A190" s="14" t="s">
        <v>212</v>
      </c>
      <c r="B190" s="14" t="s">
        <v>19</v>
      </c>
      <c r="C190" s="14">
        <v>34</v>
      </c>
      <c r="D190" s="14" t="s">
        <v>12</v>
      </c>
      <c r="E190" s="14" t="s">
        <v>31</v>
      </c>
      <c r="F190" s="14">
        <v>4</v>
      </c>
      <c r="G190" s="14">
        <v>1060</v>
      </c>
      <c r="H190" s="14">
        <v>4240</v>
      </c>
      <c r="I190" s="15">
        <v>45612</v>
      </c>
      <c r="J190" s="14" t="s">
        <v>14</v>
      </c>
      <c r="K190" s="16">
        <f t="shared" si="14"/>
        <v>4240</v>
      </c>
      <c r="L190" s="16" t="str">
        <f t="shared" si="15"/>
        <v>Correct</v>
      </c>
      <c r="M190" s="16" t="str">
        <f t="shared" si="16"/>
        <v>Adult</v>
      </c>
      <c r="N190" s="16" t="str">
        <f t="shared" si="17"/>
        <v>Normal</v>
      </c>
      <c r="O190" s="16" t="str">
        <f t="shared" si="18"/>
        <v>November</v>
      </c>
    </row>
    <row r="191" spans="1:15" x14ac:dyDescent="0.3">
      <c r="A191" s="14" t="s">
        <v>213</v>
      </c>
      <c r="B191" s="14" t="s">
        <v>11</v>
      </c>
      <c r="C191" s="14">
        <v>44</v>
      </c>
      <c r="D191" s="14" t="s">
        <v>28</v>
      </c>
      <c r="E191" s="14" t="s">
        <v>31</v>
      </c>
      <c r="F191" s="14">
        <v>4</v>
      </c>
      <c r="G191" s="14">
        <v>3228</v>
      </c>
      <c r="H191" s="14">
        <v>12912</v>
      </c>
      <c r="I191" s="15">
        <v>45626</v>
      </c>
      <c r="J191" s="14" t="s">
        <v>14</v>
      </c>
      <c r="K191" s="16">
        <f t="shared" si="14"/>
        <v>12912</v>
      </c>
      <c r="L191" s="16" t="str">
        <f t="shared" si="15"/>
        <v>Correct</v>
      </c>
      <c r="M191" s="16" t="str">
        <f t="shared" si="16"/>
        <v>Senior</v>
      </c>
      <c r="N191" s="16" t="str">
        <f t="shared" si="17"/>
        <v>High Value</v>
      </c>
      <c r="O191" s="16" t="str">
        <f t="shared" si="18"/>
        <v>November</v>
      </c>
    </row>
    <row r="192" spans="1:15" x14ac:dyDescent="0.3">
      <c r="A192" s="14" t="s">
        <v>214</v>
      </c>
      <c r="B192" s="14" t="s">
        <v>11</v>
      </c>
      <c r="C192" s="14">
        <v>34</v>
      </c>
      <c r="D192" s="14" t="s">
        <v>12</v>
      </c>
      <c r="E192" s="14" t="s">
        <v>31</v>
      </c>
      <c r="F192" s="14">
        <v>5</v>
      </c>
      <c r="G192" s="14">
        <v>1604</v>
      </c>
      <c r="H192" s="14">
        <v>8020</v>
      </c>
      <c r="I192" s="15">
        <v>45490</v>
      </c>
      <c r="J192" s="14" t="s">
        <v>24</v>
      </c>
      <c r="K192" s="16">
        <f t="shared" si="14"/>
        <v>8020</v>
      </c>
      <c r="L192" s="16" t="str">
        <f t="shared" si="15"/>
        <v>Correct</v>
      </c>
      <c r="M192" s="16" t="str">
        <f t="shared" si="16"/>
        <v>Adult</v>
      </c>
      <c r="N192" s="16" t="str">
        <f t="shared" si="17"/>
        <v>Normal</v>
      </c>
      <c r="O192" s="16" t="str">
        <f t="shared" si="18"/>
        <v>July</v>
      </c>
    </row>
    <row r="193" spans="1:15" x14ac:dyDescent="0.3">
      <c r="A193" s="14" t="s">
        <v>215</v>
      </c>
      <c r="B193" s="14" t="s">
        <v>11</v>
      </c>
      <c r="C193" s="14">
        <v>45</v>
      </c>
      <c r="D193" s="14" t="s">
        <v>28</v>
      </c>
      <c r="E193" s="14" t="s">
        <v>23</v>
      </c>
      <c r="F193" s="14">
        <v>5</v>
      </c>
      <c r="G193" s="14">
        <v>1477</v>
      </c>
      <c r="H193" s="14">
        <v>7385</v>
      </c>
      <c r="I193" s="15">
        <v>45607</v>
      </c>
      <c r="J193" s="14" t="s">
        <v>24</v>
      </c>
      <c r="K193" s="16">
        <f t="shared" si="14"/>
        <v>7385</v>
      </c>
      <c r="L193" s="16" t="str">
        <f t="shared" si="15"/>
        <v>Correct</v>
      </c>
      <c r="M193" s="16" t="str">
        <f t="shared" si="16"/>
        <v>Senior</v>
      </c>
      <c r="N193" s="16" t="str">
        <f t="shared" si="17"/>
        <v>Normal</v>
      </c>
      <c r="O193" s="16" t="str">
        <f t="shared" si="18"/>
        <v>November</v>
      </c>
    </row>
    <row r="194" spans="1:15" x14ac:dyDescent="0.3">
      <c r="A194" s="14" t="s">
        <v>216</v>
      </c>
      <c r="B194" s="14" t="s">
        <v>19</v>
      </c>
      <c r="C194" s="14">
        <v>52</v>
      </c>
      <c r="D194" s="14" t="s">
        <v>16</v>
      </c>
      <c r="E194" s="14" t="s">
        <v>13</v>
      </c>
      <c r="F194" s="14">
        <v>3</v>
      </c>
      <c r="G194" s="14">
        <v>4076</v>
      </c>
      <c r="H194" s="14">
        <v>12228</v>
      </c>
      <c r="I194" s="15">
        <v>45432</v>
      </c>
      <c r="J194" s="14" t="s">
        <v>14</v>
      </c>
      <c r="K194" s="16">
        <f t="shared" si="14"/>
        <v>12228</v>
      </c>
      <c r="L194" s="16" t="str">
        <f t="shared" si="15"/>
        <v>Correct</v>
      </c>
      <c r="M194" s="16" t="str">
        <f t="shared" si="16"/>
        <v>Senior</v>
      </c>
      <c r="N194" s="16" t="str">
        <f t="shared" si="17"/>
        <v>High Value</v>
      </c>
      <c r="O194" s="16" t="str">
        <f t="shared" si="18"/>
        <v>May</v>
      </c>
    </row>
    <row r="195" spans="1:15" x14ac:dyDescent="0.3">
      <c r="A195" s="14" t="s">
        <v>217</v>
      </c>
      <c r="B195" s="14" t="s">
        <v>19</v>
      </c>
      <c r="C195" s="14">
        <v>32</v>
      </c>
      <c r="D195" s="14" t="s">
        <v>16</v>
      </c>
      <c r="E195" s="14" t="s">
        <v>31</v>
      </c>
      <c r="F195" s="14">
        <v>5</v>
      </c>
      <c r="G195" s="14">
        <v>1871</v>
      </c>
      <c r="H195" s="14">
        <v>9355</v>
      </c>
      <c r="I195" s="15">
        <v>45537</v>
      </c>
      <c r="J195" s="14" t="s">
        <v>17</v>
      </c>
      <c r="K195" s="16">
        <f t="shared" ref="K195:K202" si="19">F195*G195</f>
        <v>9355</v>
      </c>
      <c r="L195" s="16" t="str">
        <f t="shared" ref="L195:L201" si="20">IF(H195=K195,"Correct","Mismatch")</f>
        <v>Correct</v>
      </c>
      <c r="M195" s="16" t="str">
        <f t="shared" ref="M195:M201" si="21">IF(C195&lt;20,"Teen",IF(C195&lt;=40,"Adult","Senior"))</f>
        <v>Adult</v>
      </c>
      <c r="N195" s="16" t="str">
        <f t="shared" ref="N195:N201" si="22">IF(H195&gt;10000,"High Value","Normal")</f>
        <v>Normal</v>
      </c>
      <c r="O195" s="16" t="str">
        <f t="shared" ref="O195:O201" si="23">TEXT(I195,"mmmm")</f>
        <v>September</v>
      </c>
    </row>
    <row r="196" spans="1:15" x14ac:dyDescent="0.3">
      <c r="A196" s="14" t="s">
        <v>218</v>
      </c>
      <c r="B196" s="14" t="s">
        <v>19</v>
      </c>
      <c r="C196" s="14">
        <v>27</v>
      </c>
      <c r="D196" s="14" t="s">
        <v>12</v>
      </c>
      <c r="E196" s="14" t="s">
        <v>23</v>
      </c>
      <c r="F196" s="14">
        <v>4</v>
      </c>
      <c r="G196" s="14">
        <v>2777</v>
      </c>
      <c r="H196" s="14">
        <v>11108</v>
      </c>
      <c r="I196" s="15">
        <v>45428</v>
      </c>
      <c r="J196" s="14" t="s">
        <v>24</v>
      </c>
      <c r="K196" s="16">
        <f t="shared" si="19"/>
        <v>11108</v>
      </c>
      <c r="L196" s="16" t="str">
        <f t="shared" si="20"/>
        <v>Correct</v>
      </c>
      <c r="M196" s="16" t="str">
        <f t="shared" si="21"/>
        <v>Adult</v>
      </c>
      <c r="N196" s="16" t="str">
        <f t="shared" si="22"/>
        <v>High Value</v>
      </c>
      <c r="O196" s="16" t="str">
        <f t="shared" si="23"/>
        <v>May</v>
      </c>
    </row>
    <row r="197" spans="1:15" x14ac:dyDescent="0.3">
      <c r="A197" s="14" t="s">
        <v>219</v>
      </c>
      <c r="B197" s="14" t="s">
        <v>19</v>
      </c>
      <c r="C197" s="14">
        <v>49</v>
      </c>
      <c r="D197" s="14" t="s">
        <v>28</v>
      </c>
      <c r="E197" s="14" t="s">
        <v>20</v>
      </c>
      <c r="F197" s="14">
        <v>1</v>
      </c>
      <c r="G197" s="14">
        <v>1511</v>
      </c>
      <c r="H197" s="14">
        <v>1511</v>
      </c>
      <c r="I197" s="15">
        <v>45549</v>
      </c>
      <c r="J197" s="14" t="s">
        <v>14</v>
      </c>
      <c r="K197" s="16">
        <f t="shared" si="19"/>
        <v>1511</v>
      </c>
      <c r="L197" s="16" t="str">
        <f t="shared" si="20"/>
        <v>Correct</v>
      </c>
      <c r="M197" s="16" t="str">
        <f t="shared" si="21"/>
        <v>Senior</v>
      </c>
      <c r="N197" s="16" t="str">
        <f t="shared" si="22"/>
        <v>Normal</v>
      </c>
      <c r="O197" s="16" t="str">
        <f t="shared" si="23"/>
        <v>September</v>
      </c>
    </row>
    <row r="198" spans="1:15" x14ac:dyDescent="0.3">
      <c r="A198" s="14" t="s">
        <v>220</v>
      </c>
      <c r="B198" s="14" t="s">
        <v>11</v>
      </c>
      <c r="C198" s="14">
        <v>21</v>
      </c>
      <c r="D198" s="14" t="s">
        <v>28</v>
      </c>
      <c r="E198" s="14" t="s">
        <v>13</v>
      </c>
      <c r="F198" s="14">
        <v>1</v>
      </c>
      <c r="G198" s="14">
        <v>1027</v>
      </c>
      <c r="H198" s="14">
        <v>1027</v>
      </c>
      <c r="I198" s="15">
        <v>45656</v>
      </c>
      <c r="J198" s="14" t="s">
        <v>21</v>
      </c>
      <c r="K198" s="16">
        <f t="shared" si="19"/>
        <v>1027</v>
      </c>
      <c r="L198" s="16" t="str">
        <f t="shared" si="20"/>
        <v>Correct</v>
      </c>
      <c r="M198" s="16" t="str">
        <f t="shared" si="21"/>
        <v>Adult</v>
      </c>
      <c r="N198" s="16" t="str">
        <f t="shared" si="22"/>
        <v>Normal</v>
      </c>
      <c r="O198" s="16" t="str">
        <f t="shared" si="23"/>
        <v>December</v>
      </c>
    </row>
    <row r="199" spans="1:15" x14ac:dyDescent="0.3">
      <c r="A199" s="14" t="s">
        <v>221</v>
      </c>
      <c r="B199" s="14" t="s">
        <v>19</v>
      </c>
      <c r="C199" s="14">
        <v>45</v>
      </c>
      <c r="D199" s="14" t="s">
        <v>28</v>
      </c>
      <c r="E199" s="14" t="s">
        <v>23</v>
      </c>
      <c r="F199" s="14">
        <v>5</v>
      </c>
      <c r="G199" s="14">
        <v>4224</v>
      </c>
      <c r="H199" s="14">
        <v>21120</v>
      </c>
      <c r="I199" s="15">
        <v>45500</v>
      </c>
      <c r="J199" s="14" t="s">
        <v>21</v>
      </c>
      <c r="K199" s="16">
        <f t="shared" si="19"/>
        <v>21120</v>
      </c>
      <c r="L199" s="16" t="str">
        <f t="shared" si="20"/>
        <v>Correct</v>
      </c>
      <c r="M199" s="16" t="str">
        <f t="shared" si="21"/>
        <v>Senior</v>
      </c>
      <c r="N199" s="16" t="str">
        <f t="shared" si="22"/>
        <v>High Value</v>
      </c>
      <c r="O199" s="16" t="str">
        <f t="shared" si="23"/>
        <v>July</v>
      </c>
    </row>
    <row r="200" spans="1:15" x14ac:dyDescent="0.3">
      <c r="A200" s="14" t="s">
        <v>222</v>
      </c>
      <c r="B200" s="14" t="s">
        <v>19</v>
      </c>
      <c r="C200" s="14">
        <v>32</v>
      </c>
      <c r="D200" s="14" t="s">
        <v>16</v>
      </c>
      <c r="E200" s="14" t="s">
        <v>13</v>
      </c>
      <c r="F200" s="14">
        <v>1</v>
      </c>
      <c r="G200" s="14">
        <v>2616</v>
      </c>
      <c r="H200" s="14">
        <v>2616</v>
      </c>
      <c r="I200" s="15">
        <v>45460</v>
      </c>
      <c r="J200" s="14" t="s">
        <v>21</v>
      </c>
      <c r="K200" s="16">
        <f t="shared" si="19"/>
        <v>2616</v>
      </c>
      <c r="L200" s="16" t="str">
        <f t="shared" si="20"/>
        <v>Correct</v>
      </c>
      <c r="M200" s="16" t="str">
        <f t="shared" si="21"/>
        <v>Adult</v>
      </c>
      <c r="N200" s="16" t="str">
        <f t="shared" si="22"/>
        <v>Normal</v>
      </c>
      <c r="O200" s="16" t="str">
        <f t="shared" si="23"/>
        <v>June</v>
      </c>
    </row>
    <row r="201" spans="1:15" x14ac:dyDescent="0.3">
      <c r="A201" s="14" t="s">
        <v>223</v>
      </c>
      <c r="B201" s="14" t="s">
        <v>11</v>
      </c>
      <c r="C201" s="14">
        <v>58</v>
      </c>
      <c r="D201" s="14" t="s">
        <v>28</v>
      </c>
      <c r="E201" s="14" t="s">
        <v>20</v>
      </c>
      <c r="F201" s="14">
        <v>4</v>
      </c>
      <c r="G201" s="14">
        <v>3542</v>
      </c>
      <c r="H201" s="14">
        <v>14168</v>
      </c>
      <c r="I201" s="15">
        <v>45506</v>
      </c>
      <c r="J201" s="14" t="s">
        <v>21</v>
      </c>
      <c r="K201" s="16">
        <f t="shared" si="19"/>
        <v>14168</v>
      </c>
      <c r="L201" s="16" t="str">
        <f t="shared" si="20"/>
        <v>Correct</v>
      </c>
      <c r="M201" s="16" t="str">
        <f t="shared" si="21"/>
        <v>Senior</v>
      </c>
      <c r="N201" s="16" t="str">
        <f t="shared" si="22"/>
        <v>High Value</v>
      </c>
      <c r="O201" s="16" t="str">
        <f t="shared" si="23"/>
        <v>August</v>
      </c>
    </row>
    <row r="202" spans="1:1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>
        <f t="shared" si="19"/>
        <v>0</v>
      </c>
    </row>
  </sheetData>
  <mergeCells count="2">
    <mergeCell ref="AC6:AE6"/>
    <mergeCell ref="Q5:T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2"/>
  <sheetViews>
    <sheetView tabSelected="1" zoomScale="49" zoomScaleNormal="41" workbookViewId="0">
      <selection activeCell="AA21" sqref="AA21"/>
    </sheetView>
  </sheetViews>
  <sheetFormatPr defaultRowHeight="14.4" x14ac:dyDescent="0.3"/>
  <cols>
    <col min="1" max="1" width="27.88671875" customWidth="1"/>
    <col min="2" max="2" width="20.5546875" customWidth="1"/>
    <col min="18" max="18" width="13.44140625" bestFit="1" customWidth="1"/>
    <col min="19" max="19" width="21.6640625" customWidth="1"/>
    <col min="20" max="20" width="21.33203125" customWidth="1"/>
    <col min="21" max="21" width="14" customWidth="1"/>
  </cols>
  <sheetData>
    <row r="1" spans="1:21" x14ac:dyDescent="0.3">
      <c r="A1" s="21" t="s">
        <v>224</v>
      </c>
      <c r="B1" s="22">
        <f>SUM(Raw_Data!H2:H201)</f>
        <v>1611742</v>
      </c>
    </row>
    <row r="3" spans="1:21" ht="15" x14ac:dyDescent="0.3">
      <c r="A3" s="23" t="s">
        <v>225</v>
      </c>
      <c r="B3" s="24"/>
      <c r="R3" s="26"/>
      <c r="S3" s="26"/>
      <c r="T3" s="26"/>
      <c r="U3" s="26"/>
    </row>
    <row r="4" spans="1:21" ht="15" x14ac:dyDescent="0.3">
      <c r="A4" s="16" t="s">
        <v>11</v>
      </c>
      <c r="B4" s="16">
        <f>SUMIF(Raw_Data!B2:B201,"Male",Raw_Data!H2:H201)</f>
        <v>789550</v>
      </c>
      <c r="R4" s="27"/>
      <c r="S4" s="27"/>
      <c r="T4" s="27"/>
      <c r="U4" s="27"/>
    </row>
    <row r="5" spans="1:21" ht="15" x14ac:dyDescent="0.3">
      <c r="A5" s="16" t="s">
        <v>19</v>
      </c>
      <c r="B5" s="16">
        <f>SUMIF(Raw_Data!B2:B201,"Female",Raw_Data!H2:H201)</f>
        <v>822192</v>
      </c>
      <c r="R5" s="27"/>
      <c r="S5" s="27"/>
      <c r="T5" s="27"/>
      <c r="U5" s="27"/>
    </row>
    <row r="7" spans="1:21" x14ac:dyDescent="0.3">
      <c r="A7" s="23" t="s">
        <v>226</v>
      </c>
      <c r="B7" s="24"/>
    </row>
    <row r="8" spans="1:21" x14ac:dyDescent="0.3">
      <c r="A8" s="16" t="s">
        <v>23</v>
      </c>
      <c r="B8" s="16">
        <f>SUMIF(Raw_Data!E2:E201,"Electronics",Raw_Data!H2:H201)</f>
        <v>425923</v>
      </c>
    </row>
    <row r="9" spans="1:21" x14ac:dyDescent="0.3">
      <c r="A9" s="16" t="s">
        <v>13</v>
      </c>
      <c r="B9" s="16">
        <f>SUMIF(Raw_Data!E2:E201,"Clothing",Raw_Data!H2:H201)</f>
        <v>355920</v>
      </c>
    </row>
    <row r="10" spans="1:21" x14ac:dyDescent="0.3">
      <c r="A10" s="16" t="s">
        <v>31</v>
      </c>
      <c r="B10" s="16">
        <f>SUMIF(Raw_Data!E2:E201,"Home",Raw_Data!H2:H201)</f>
        <v>449390</v>
      </c>
    </row>
    <row r="11" spans="1:21" x14ac:dyDescent="0.3">
      <c r="A11" s="16" t="s">
        <v>20</v>
      </c>
      <c r="B11" s="16">
        <f>SUMIF(Raw_Data!E2:E201,"Sports",Raw_Data!H2:H201)</f>
        <v>380509</v>
      </c>
    </row>
    <row r="20" spans="1:20" ht="16.2" x14ac:dyDescent="0.3">
      <c r="A20" s="11" t="s">
        <v>231</v>
      </c>
      <c r="B20" s="11" t="s">
        <v>253</v>
      </c>
    </row>
    <row r="21" spans="1:20" x14ac:dyDescent="0.3">
      <c r="A21" s="19" t="s">
        <v>241</v>
      </c>
      <c r="B21" s="16">
        <v>135691</v>
      </c>
    </row>
    <row r="22" spans="1:20" x14ac:dyDescent="0.3">
      <c r="A22" s="19" t="s">
        <v>243</v>
      </c>
      <c r="B22" s="16">
        <v>99937</v>
      </c>
    </row>
    <row r="23" spans="1:20" x14ac:dyDescent="0.3">
      <c r="A23" s="19" t="s">
        <v>244</v>
      </c>
      <c r="B23" s="16">
        <v>179507</v>
      </c>
    </row>
    <row r="24" spans="1:20" x14ac:dyDescent="0.3">
      <c r="A24" s="19" t="s">
        <v>245</v>
      </c>
      <c r="B24" s="16">
        <v>179507</v>
      </c>
    </row>
    <row r="25" spans="1:20" ht="15" x14ac:dyDescent="0.3">
      <c r="A25" s="19" t="s">
        <v>246</v>
      </c>
      <c r="B25" s="16">
        <v>149653</v>
      </c>
      <c r="S25" s="9" t="s">
        <v>239</v>
      </c>
      <c r="T25" s="9"/>
    </row>
    <row r="26" spans="1:20" ht="15" x14ac:dyDescent="0.3">
      <c r="A26" s="19" t="s">
        <v>247</v>
      </c>
      <c r="B26" s="16">
        <v>179507</v>
      </c>
      <c r="S26" s="20" t="s">
        <v>14</v>
      </c>
      <c r="T26" s="20" t="s">
        <v>240</v>
      </c>
    </row>
    <row r="27" spans="1:20" ht="15" x14ac:dyDescent="0.3">
      <c r="A27" s="19" t="s">
        <v>248</v>
      </c>
      <c r="B27" s="16">
        <v>99937</v>
      </c>
      <c r="S27" s="20">
        <f>COUNTIF(Raw_Data!J:J,"UPI")</f>
        <v>57</v>
      </c>
      <c r="T27" s="20">
        <f>COUNTIF(Raw_Data!J:J,"Credit Card")</f>
        <v>48</v>
      </c>
    </row>
    <row r="28" spans="1:20" x14ac:dyDescent="0.3">
      <c r="A28" s="19" t="s">
        <v>250</v>
      </c>
      <c r="B28" s="16">
        <v>131113</v>
      </c>
    </row>
    <row r="29" spans="1:20" x14ac:dyDescent="0.3">
      <c r="A29" s="19" t="s">
        <v>251</v>
      </c>
      <c r="B29" s="16">
        <v>135691</v>
      </c>
    </row>
    <row r="30" spans="1:20" x14ac:dyDescent="0.3">
      <c r="A30" s="19" t="s">
        <v>252</v>
      </c>
      <c r="B30" s="16">
        <v>79012</v>
      </c>
    </row>
    <row r="31" spans="1:20" x14ac:dyDescent="0.3">
      <c r="A31" s="19" t="s">
        <v>242</v>
      </c>
      <c r="B31" s="16">
        <v>158620</v>
      </c>
    </row>
    <row r="32" spans="1:20" x14ac:dyDescent="0.3">
      <c r="A32" s="19" t="s">
        <v>249</v>
      </c>
      <c r="B32" s="16">
        <v>131113</v>
      </c>
    </row>
    <row r="38" spans="1:2" ht="16.2" x14ac:dyDescent="0.3">
      <c r="A38" s="6"/>
      <c r="B38" s="6"/>
    </row>
    <row r="41" spans="1:2" ht="16.2" x14ac:dyDescent="0.3">
      <c r="A41" s="25" t="s">
        <v>233</v>
      </c>
      <c r="B41" s="25" t="s">
        <v>234</v>
      </c>
    </row>
    <row r="42" spans="1:2" x14ac:dyDescent="0.3">
      <c r="A42" s="16">
        <v>789550</v>
      </c>
      <c r="B42" s="16">
        <v>822192</v>
      </c>
    </row>
  </sheetData>
  <mergeCells count="3">
    <mergeCell ref="A3:B3"/>
    <mergeCell ref="A7:B7"/>
    <mergeCell ref="R3:U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 .p</cp:lastModifiedBy>
  <dcterms:created xsi:type="dcterms:W3CDTF">2026-02-16T11:30:35Z</dcterms:created>
  <dcterms:modified xsi:type="dcterms:W3CDTF">2026-02-18T15:42:26Z</dcterms:modified>
</cp:coreProperties>
</file>